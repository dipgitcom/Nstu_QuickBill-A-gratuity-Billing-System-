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J:\My Drive\IIT NSTU\Final Exam Bill\"/>
    </mc:Choice>
  </mc:AlternateContent>
  <xr:revisionPtr revIDLastSave="0" documentId="13_ncr:1_{0A6F3871-C048-4A89-9642-F06341A38B13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put Field" sheetId="1" r:id="rId1"/>
    <sheet name="PrintBill" sheetId="2" r:id="rId2"/>
    <sheet name="Rul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8" i="2" l="1"/>
  <c r="A49" i="2" s="1"/>
  <c r="H8" i="2"/>
  <c r="M35" i="2" l="1"/>
  <c r="M37" i="2"/>
  <c r="L37" i="2"/>
  <c r="B35" i="2"/>
  <c r="B37" i="2"/>
  <c r="L20" i="2"/>
  <c r="L21" i="2"/>
  <c r="L19" i="2"/>
  <c r="L25" i="2"/>
  <c r="L26" i="2"/>
  <c r="L27" i="2"/>
  <c r="L30" i="2"/>
  <c r="L31" i="2"/>
  <c r="L32" i="2"/>
  <c r="L29" i="2"/>
  <c r="L35" i="2"/>
  <c r="B29" i="2"/>
  <c r="B32" i="2"/>
  <c r="B30" i="2"/>
  <c r="B31" i="2"/>
  <c r="A39" i="1"/>
  <c r="E38" i="2" l="1"/>
  <c r="M38" i="2" s="1"/>
  <c r="A45" i="1"/>
  <c r="A42" i="1"/>
  <c r="B23" i="2"/>
  <c r="M33" i="2"/>
  <c r="A37" i="1"/>
  <c r="M30" i="2" l="1"/>
  <c r="M31" i="2"/>
  <c r="M32" i="2"/>
  <c r="M29" i="2"/>
  <c r="A30" i="1"/>
  <c r="A22" i="1"/>
  <c r="A16" i="1"/>
  <c r="A13" i="1"/>
  <c r="A6" i="1"/>
  <c r="B24" i="2"/>
  <c r="B25" i="2"/>
  <c r="B26" i="2"/>
  <c r="B27" i="2"/>
  <c r="E25" i="1"/>
  <c r="E26" i="1"/>
  <c r="M25" i="2" s="1"/>
  <c r="E27" i="1"/>
  <c r="E28" i="1"/>
  <c r="M27" i="2" s="1"/>
  <c r="E24" i="1"/>
  <c r="M26" i="2"/>
  <c r="M20" i="2"/>
  <c r="M21" i="2"/>
  <c r="M19" i="2"/>
  <c r="B20" i="2"/>
  <c r="B21" i="2"/>
  <c r="B19" i="2"/>
  <c r="M17" i="2"/>
  <c r="C17" i="2"/>
  <c r="J8" i="1"/>
  <c r="B13" i="2"/>
  <c r="B14" i="2"/>
  <c r="B15" i="2"/>
  <c r="B16" i="2"/>
  <c r="M24" i="2" l="1"/>
  <c r="L24" i="2"/>
  <c r="M23" i="2"/>
  <c r="L23" i="2"/>
  <c r="M14" i="2"/>
  <c r="M15" i="2"/>
  <c r="M16" i="2"/>
  <c r="M13" i="2"/>
  <c r="J41" i="2" l="1"/>
  <c r="M8" i="2"/>
  <c r="A10" i="2"/>
  <c r="J9" i="2"/>
  <c r="C8" i="2"/>
  <c r="C7" i="2"/>
  <c r="J43" i="2"/>
  <c r="B47" i="1" l="1"/>
</calcChain>
</file>

<file path=xl/sharedStrings.xml><?xml version="1.0" encoding="utf-8"?>
<sst xmlns="http://schemas.openxmlformats.org/spreadsheetml/2006/main" count="136" uniqueCount="93">
  <si>
    <t>(প্রতিটি বিভাগ, বর্ষ ও টার্মের জন্য আলাদা বিল ফরম ব্যবহার করতে হবে)</t>
  </si>
  <si>
    <t>(পরীক্ষার ফল প্রকাশের এক মাসের মধ্যে নির্দিষ্ট বিভাগীয় পরীক্ষা পরিষদের সভাপতির মাধ্যমে পরীক্ষা নিয়ন্ত্রকের অফিসে পারিশ্রমিকের বিল পেশ করতে হবে)</t>
  </si>
  <si>
    <t>পরীক্ষকের নামঃ</t>
  </si>
  <si>
    <t>পদবি সহকারে ঠিকানাঃ</t>
  </si>
  <si>
    <t>যে বিভাগের পরীক্ষাঃ</t>
  </si>
  <si>
    <t>ইন্সটিটিউট অব ইনফরমেশন টেকনোলজি</t>
  </si>
  <si>
    <t>বর্ষঃ</t>
  </si>
  <si>
    <t>টার্মঃ</t>
  </si>
  <si>
    <t>শিক্ষাবর্ষঃ</t>
  </si>
  <si>
    <t>পরীক্ষা অনুষ্ঠানের তারিখঃ</t>
  </si>
  <si>
    <t>সহকারী অধ্যাপক, আই আই টি, নোবিপ্রবি</t>
  </si>
  <si>
    <t>পরীক্ষার তারিখঃ</t>
  </si>
  <si>
    <t>পরীক্ষার সালঃ</t>
  </si>
  <si>
    <t>২০২০</t>
  </si>
  <si>
    <t>1. Question Preperation</t>
  </si>
  <si>
    <t>BSc</t>
  </si>
  <si>
    <t>with OBJ</t>
  </si>
  <si>
    <t>4 hrs</t>
  </si>
  <si>
    <t>3 hrs</t>
  </si>
  <si>
    <t>no OBJ</t>
  </si>
  <si>
    <t>MSc or Higher</t>
  </si>
  <si>
    <t>Course Code</t>
  </si>
  <si>
    <t>Course Title</t>
  </si>
  <si>
    <t>Hour</t>
  </si>
  <si>
    <t>ক.</t>
  </si>
  <si>
    <t>খ.</t>
  </si>
  <si>
    <t>গ.</t>
  </si>
  <si>
    <t>ঘ.</t>
  </si>
  <si>
    <t>মোঃ ইফতেখারুল আলম ইফাত</t>
  </si>
  <si>
    <t>Information Security</t>
  </si>
  <si>
    <t>পয়সা</t>
  </si>
  <si>
    <t>টাকা</t>
  </si>
  <si>
    <t>2018-2019</t>
  </si>
  <si>
    <t>SE 2209</t>
  </si>
  <si>
    <t>Software Requirement Specification &amp; Analysis</t>
  </si>
  <si>
    <t>Course Codes</t>
  </si>
  <si>
    <t># of Ques.</t>
  </si>
  <si>
    <t># of Members</t>
  </si>
  <si>
    <t># of Std.</t>
  </si>
  <si>
    <t># of Quiz/Assgn.</t>
  </si>
  <si>
    <t>ঙ.</t>
  </si>
  <si>
    <t>Amount/Script</t>
  </si>
  <si>
    <t>১. প্রশ্নপত্র প্রণয়নঃ</t>
  </si>
  <si>
    <t>২. প্রশ্নপত্র সমন্বয় সাধনঃ</t>
  </si>
  <si>
    <t>৩. ক্লাস টেস্ট / টার্ম পেপার / হোমওয়ার্ক / এসাইনমেন্টঃ</t>
  </si>
  <si>
    <t>৪. উত্তর পত্র মূল্যায়নঃ</t>
  </si>
  <si>
    <t>৫. ব্যবহারিক পরীক্ষাঃ</t>
  </si>
  <si>
    <t># of Day</t>
  </si>
  <si>
    <t># of Group</t>
  </si>
  <si>
    <t>SE 2210</t>
  </si>
  <si>
    <t>CSE 2206</t>
  </si>
  <si>
    <t>CSE 2205</t>
  </si>
  <si>
    <t>CSE 2204</t>
  </si>
  <si>
    <t>Database Management System - I Lab</t>
  </si>
  <si>
    <t>Information Security Lab</t>
  </si>
  <si>
    <t>Software Requirement Specification &amp; Analysis Lab</t>
  </si>
  <si>
    <t>৬. মৌখিক পরীক্ষাঃ</t>
  </si>
  <si>
    <t>নেই বা N/A</t>
  </si>
  <si>
    <t>৭. পরীক্ষার ফল সন্নিবেশ করণঃ</t>
  </si>
  <si>
    <t>৮. উত্তরপত্র নিরীক্ষাঃ</t>
  </si>
  <si>
    <t>৯. পরীক্ষা পরিষদের সভাপতি / সদস্য (সম্মানী ভাতা)</t>
  </si>
  <si>
    <t>সদস্য</t>
  </si>
  <si>
    <t>১০. ডাক মাশুল ও অন্যান্য খরচ (রশিদ বিলের সাথে সংযুক্ত করতে হবে)</t>
  </si>
  <si>
    <t>প্রত্যয়ন করা যাছে যে, উপর্যুক্ত বিবরণী আমার জানামতে সঠিক। বিল পরিশোধ করা যেতে পারে।</t>
  </si>
  <si>
    <t>মোট টাকা =</t>
  </si>
  <si>
    <t>Total Amout:</t>
  </si>
  <si>
    <t>In Words (bangla)</t>
  </si>
  <si>
    <t>সাতাশ হাজার সাতশত দশ টাকা</t>
  </si>
  <si>
    <t>স্বাক্ষর (সীল সহ)
পরীক্ষা পরিষদের সভাপতি</t>
  </si>
  <si>
    <t>প্রত্যয়ন করা যাছে যে, অত্র বিলের টাকা পূর্বে গ্রহণ করা হয়নি। অতিরিক্ত কোন অথ উত্তোলন করলে ফেরত দিতে বাধ্য থাকব।</t>
  </si>
  <si>
    <t>কথায় :</t>
  </si>
  <si>
    <t>বিলসমূহ নিরীক্ষান্তে পরিশোধ করা যেতে পারে</t>
  </si>
  <si>
    <t>প্রাপকের স্বাক্ষর ও তারিখ</t>
  </si>
  <si>
    <t>অফিস সহকারী</t>
  </si>
  <si>
    <t>সেকশন অফিসার / সহকারী পরীক্ষা নিয়ন্ত্রক</t>
  </si>
  <si>
    <t>উপ পরীক্ষা নিয়ন্ত্রক</t>
  </si>
  <si>
    <t>পরীক্ষা নিয়ন্ত্রক</t>
  </si>
  <si>
    <t>হিসাব বিভাগের ব্যবহারের জন্য</t>
  </si>
  <si>
    <t>সেকশন অফিসার / সহকারী হিসাব পরিচালক</t>
  </si>
  <si>
    <t>উপ - পরিচালক</t>
  </si>
  <si>
    <t>পরিচালক</t>
  </si>
  <si>
    <t>ব্যাংক এডভাইস / চেক নং  ________________________________</t>
  </si>
  <si>
    <t>তারিখঃ ______________</t>
  </si>
  <si>
    <t>Mobile   : 01811 150935
E-mail    : info@nstu.edu.bd
Website : www.nstu.edu.bd</t>
  </si>
  <si>
    <t>বিলের ক্রমিক নং  ____________</t>
  </si>
  <si>
    <t># of Course</t>
  </si>
  <si>
    <r>
      <rPr>
        <b/>
        <sz val="14"/>
        <color theme="1"/>
        <rFont val="SolaimanLipi"/>
        <family val="4"/>
      </rPr>
      <t>নোয়াখালী বিজ্ঞান ও প্রযুক্তি বিশ্ববিদ্যালয়</t>
    </r>
    <r>
      <rPr>
        <sz val="9"/>
        <color theme="1"/>
        <rFont val="SolaimanLipi"/>
        <family val="4"/>
      </rPr>
      <t xml:space="preserve">
</t>
    </r>
    <r>
      <rPr>
        <sz val="10.5"/>
        <color theme="1"/>
        <rFont val="Times New Roman"/>
        <family val="1"/>
      </rPr>
      <t>Noakhali Science and Technology University</t>
    </r>
    <r>
      <rPr>
        <sz val="9"/>
        <color theme="1"/>
        <rFont val="SolaimanLipi"/>
        <family val="4"/>
      </rPr>
      <t xml:space="preserve">
</t>
    </r>
    <r>
      <rPr>
        <sz val="10"/>
        <color theme="1"/>
        <rFont val="SolaimanLipi"/>
      </rPr>
      <t>নোয়াখালী-৩৮১৪।</t>
    </r>
  </si>
  <si>
    <r>
      <t xml:space="preserve">
</t>
    </r>
    <r>
      <rPr>
        <b/>
        <sz val="10"/>
        <color theme="1"/>
        <rFont val="Nikosh"/>
      </rPr>
      <t>পরীক্ষা নিয়ন্ত্রকের দপ্তর</t>
    </r>
  </si>
  <si>
    <t>CSE 2201, CSE 2205, CSE 2207, SE 2209</t>
  </si>
  <si>
    <t>কম্পোজ (CSE 2207)</t>
  </si>
  <si>
    <t>পরীক্ষান্তে বর্ণিত পারিতোষিক বিল বাবদ ___________ কথায় (_____________________________________________) মাত্র পরিশোধ করা হলো।</t>
  </si>
  <si>
    <t xml:space="preserve"> ৮/১২/২১</t>
  </si>
  <si>
    <t>২০/১/২২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</si>
</sst>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(* #,##0_);_(* \(#,##0\);_(* &quot;-&quot;_);_(@_)"/>
    <numFmt numFmtId="164" formatCode="[$-5000445]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9"/>
      <color theme="1"/>
      <name val="SolaimanLipi"/>
      <family val="4"/>
    </font>
    <font>
      <b/>
      <sz val="11"/>
      <color theme="1"/>
      <name val="Times New Roman"/>
      <family val="1"/>
    </font>
    <font>
      <b/>
      <sz val="9"/>
      <color theme="1"/>
      <name val="SolaimanLipi"/>
    </font>
    <font>
      <sz val="11"/>
      <color theme="1"/>
      <name val="SolaimanLipi"/>
      <family val="4"/>
    </font>
    <font>
      <b/>
      <sz val="11"/>
      <color theme="1"/>
      <name val="SolaimanLipi"/>
    </font>
    <font>
      <b/>
      <i/>
      <sz val="11"/>
      <color theme="1"/>
      <name val="SolaimanLipi"/>
      <family val="4"/>
    </font>
    <font>
      <b/>
      <i/>
      <sz val="11"/>
      <color theme="1"/>
      <name val="Times New Roman"/>
      <family val="1"/>
    </font>
    <font>
      <b/>
      <sz val="10"/>
      <color theme="1"/>
      <name val="SolaimanLipi"/>
    </font>
    <font>
      <b/>
      <sz val="10"/>
      <color theme="1"/>
      <name val="SutonnyMJ"/>
    </font>
    <font>
      <b/>
      <sz val="12"/>
      <color rgb="FF0070C0"/>
      <name val="Times New Roman"/>
      <family val="1"/>
    </font>
    <font>
      <sz val="10"/>
      <color theme="1"/>
      <name val="SolaimanLipi"/>
      <family val="4"/>
    </font>
    <font>
      <sz val="10"/>
      <color theme="1"/>
      <name val="SolaimanLipi"/>
    </font>
    <font>
      <b/>
      <i/>
      <u/>
      <sz val="11"/>
      <color theme="1"/>
      <name val="SolaimanLipi"/>
    </font>
    <font>
      <sz val="10.5"/>
      <color theme="1"/>
      <name val="Times New Roman"/>
      <family val="1"/>
    </font>
    <font>
      <sz val="9"/>
      <color theme="1"/>
      <name val="Arial"/>
      <family val="2"/>
    </font>
    <font>
      <b/>
      <sz val="10"/>
      <color theme="1"/>
      <name val="SolaimanLipi"/>
      <family val="4"/>
    </font>
    <font>
      <i/>
      <sz val="10"/>
      <color theme="1"/>
      <name val="SolaimanLipi"/>
      <family val="4"/>
    </font>
    <font>
      <b/>
      <i/>
      <sz val="10"/>
      <color theme="1"/>
      <name val="SolaimanLipi"/>
      <family val="4"/>
    </font>
    <font>
      <sz val="10"/>
      <color theme="1"/>
      <name val="SutonnyMJ"/>
    </font>
    <font>
      <sz val="10"/>
      <color theme="1"/>
      <name val="Times New Roman"/>
      <family val="1"/>
    </font>
    <font>
      <b/>
      <sz val="12"/>
      <color theme="1"/>
      <name val="SolaimanLipi"/>
    </font>
    <font>
      <b/>
      <sz val="12"/>
      <color theme="1"/>
      <name val="SutonnyMJ"/>
    </font>
    <font>
      <sz val="12"/>
      <color theme="1"/>
      <name val="SolaimanLipi"/>
      <family val="4"/>
    </font>
    <font>
      <b/>
      <i/>
      <sz val="12"/>
      <color theme="1"/>
      <name val="SutonnyMJ"/>
    </font>
    <font>
      <i/>
      <sz val="10"/>
      <color theme="1"/>
      <name val="SolaimanLipi"/>
    </font>
    <font>
      <b/>
      <sz val="14"/>
      <color theme="1"/>
      <name val="SolaimanLipi"/>
      <family val="4"/>
    </font>
    <font>
      <b/>
      <sz val="10"/>
      <color theme="1"/>
      <name val="Nikosh"/>
    </font>
    <font>
      <sz val="9"/>
      <color theme="1"/>
      <name val="SutonnyMJ"/>
    </font>
    <font>
      <b/>
      <sz val="9"/>
      <color theme="1"/>
      <name val="SolaimanLipi"/>
      <family val="4"/>
    </font>
    <font>
      <b/>
      <sz val="8"/>
      <color theme="1"/>
      <name val="SolaimanLipi"/>
      <family val="4"/>
    </font>
    <font>
      <b/>
      <sz val="8"/>
      <name val="SolaimanLipi"/>
      <family val="4"/>
    </font>
    <font>
      <b/>
      <sz val="9"/>
      <name val="SolaimanLipi"/>
      <family val="4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DashDot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3" fillId="0" borderId="0" xfId="0" applyFont="1"/>
    <xf numFmtId="0" fontId="5" fillId="0" borderId="0" xfId="0" applyFont="1" applyAlignment="1">
      <alignment vertical="center"/>
    </xf>
    <xf numFmtId="0" fontId="1" fillId="2" borderId="0" xfId="0" applyFont="1" applyFill="1" applyAlignment="1">
      <alignment vertical="center"/>
    </xf>
    <xf numFmtId="164" fontId="1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49" fontId="5" fillId="5" borderId="0" xfId="0" applyNumberFormat="1" applyFont="1" applyFill="1" applyAlignment="1">
      <alignment horizontal="left" vertical="center"/>
    </xf>
    <xf numFmtId="0" fontId="3" fillId="0" borderId="0" xfId="0" applyFont="1" applyAlignment="1">
      <alignment vertical="center"/>
    </xf>
    <xf numFmtId="0" fontId="1" fillId="6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0" fontId="1" fillId="6" borderId="0" xfId="0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41" fontId="1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1" fillId="6" borderId="0" xfId="0" applyFont="1" applyFill="1" applyAlignment="1">
      <alignment vertical="center" wrapText="1"/>
    </xf>
    <xf numFmtId="0" fontId="1" fillId="7" borderId="0" xfId="0" applyFont="1" applyFill="1" applyAlignment="1">
      <alignment vertical="center"/>
    </xf>
    <xf numFmtId="41" fontId="11" fillId="0" borderId="0" xfId="0" applyNumberFormat="1" applyFont="1" applyAlignment="1">
      <alignment vertical="center"/>
    </xf>
    <xf numFmtId="0" fontId="1" fillId="5" borderId="0" xfId="0" applyFont="1" applyFill="1" applyAlignment="1">
      <alignment vertical="center"/>
    </xf>
    <xf numFmtId="0" fontId="2" fillId="8" borderId="4" xfId="0" applyFont="1" applyFill="1" applyBorder="1"/>
    <xf numFmtId="0" fontId="2" fillId="8" borderId="0" xfId="0" applyFont="1" applyFill="1"/>
    <xf numFmtId="0" fontId="12" fillId="8" borderId="0" xfId="0" applyFont="1" applyFill="1"/>
    <xf numFmtId="0" fontId="12" fillId="8" borderId="0" xfId="0" applyFont="1" applyFill="1" applyAlignment="1">
      <alignment horizontal="right"/>
    </xf>
    <xf numFmtId="41" fontId="12" fillId="8" borderId="0" xfId="0" applyNumberFormat="1" applyFont="1" applyFill="1"/>
    <xf numFmtId="0" fontId="12" fillId="8" borderId="0" xfId="0" applyFont="1" applyFill="1" applyAlignment="1">
      <alignment horizontal="left"/>
    </xf>
    <xf numFmtId="0" fontId="10" fillId="8" borderId="0" xfId="0" applyFont="1" applyFill="1" applyAlignment="1">
      <alignment horizontal="left"/>
    </xf>
    <xf numFmtId="0" fontId="9" fillId="8" borderId="10" xfId="0" applyFont="1" applyFill="1" applyBorder="1" applyAlignment="1">
      <alignment horizontal="center" vertical="center"/>
    </xf>
    <xf numFmtId="0" fontId="19" fillId="8" borderId="0" xfId="0" applyFont="1" applyFill="1" applyAlignment="1">
      <alignment horizontal="left"/>
    </xf>
    <xf numFmtId="0" fontId="12" fillId="8" borderId="2" xfId="0" applyFont="1" applyFill="1" applyBorder="1"/>
    <xf numFmtId="0" fontId="12" fillId="8" borderId="5" xfId="0" applyFont="1" applyFill="1" applyBorder="1"/>
    <xf numFmtId="0" fontId="2" fillId="8" borderId="0" xfId="0" applyFont="1" applyFill="1" applyAlignment="1">
      <alignment horizontal="right"/>
    </xf>
    <xf numFmtId="0" fontId="20" fillId="8" borderId="0" xfId="0" applyFont="1" applyFill="1" applyAlignment="1">
      <alignment horizontal="right"/>
    </xf>
    <xf numFmtId="41" fontId="20" fillId="8" borderId="0" xfId="0" applyNumberFormat="1" applyFont="1" applyFill="1" applyAlignment="1">
      <alignment horizontal="right"/>
    </xf>
    <xf numFmtId="41" fontId="20" fillId="8" borderId="0" xfId="0" applyNumberFormat="1" applyFont="1" applyFill="1"/>
    <xf numFmtId="0" fontId="19" fillId="8" borderId="0" xfId="0" applyFont="1" applyFill="1"/>
    <xf numFmtId="41" fontId="21" fillId="8" borderId="0" xfId="0" applyNumberFormat="1" applyFont="1" applyFill="1"/>
    <xf numFmtId="0" fontId="20" fillId="8" borderId="0" xfId="0" applyFont="1" applyFill="1" applyAlignment="1">
      <alignment horizontal="right" vertical="top"/>
    </xf>
    <xf numFmtId="41" fontId="20" fillId="8" borderId="0" xfId="0" applyNumberFormat="1" applyFont="1" applyFill="1" applyAlignment="1">
      <alignment vertical="top"/>
    </xf>
    <xf numFmtId="0" fontId="12" fillId="8" borderId="3" xfId="0" applyFont="1" applyFill="1" applyBorder="1"/>
    <xf numFmtId="0" fontId="12" fillId="8" borderId="4" xfId="0" applyFont="1" applyFill="1" applyBorder="1"/>
    <xf numFmtId="0" fontId="12" fillId="8" borderId="4" xfId="0" applyFont="1" applyFill="1" applyBorder="1" applyAlignment="1">
      <alignment horizontal="right"/>
    </xf>
    <xf numFmtId="41" fontId="20" fillId="8" borderId="4" xfId="0" applyNumberFormat="1" applyFont="1" applyFill="1" applyBorder="1"/>
    <xf numFmtId="0" fontId="12" fillId="8" borderId="6" xfId="0" applyFont="1" applyFill="1" applyBorder="1"/>
    <xf numFmtId="0" fontId="24" fillId="8" borderId="9" xfId="0" applyFont="1" applyFill="1" applyBorder="1"/>
    <xf numFmtId="0" fontId="24" fillId="8" borderId="0" xfId="0" applyFont="1" applyFill="1"/>
    <xf numFmtId="0" fontId="24" fillId="8" borderId="0" xfId="0" applyFont="1" applyFill="1" applyAlignment="1">
      <alignment horizontal="right"/>
    </xf>
    <xf numFmtId="41" fontId="24" fillId="8" borderId="0" xfId="0" applyNumberFormat="1" applyFont="1" applyFill="1"/>
    <xf numFmtId="0" fontId="12" fillId="8" borderId="0" xfId="0" applyFont="1" applyFill="1" applyAlignment="1">
      <alignment horizontal="left" indent="1"/>
    </xf>
    <xf numFmtId="41" fontId="2" fillId="8" borderId="0" xfId="0" applyNumberFormat="1" applyFont="1" applyFill="1"/>
    <xf numFmtId="0" fontId="26" fillId="8" borderId="0" xfId="0" applyFont="1" applyFill="1"/>
    <xf numFmtId="0" fontId="9" fillId="8" borderId="0" xfId="0" applyFont="1" applyFill="1"/>
    <xf numFmtId="0" fontId="9" fillId="8" borderId="0" xfId="0" applyFont="1" applyFill="1" applyAlignment="1">
      <alignment vertical="center"/>
    </xf>
    <xf numFmtId="41" fontId="9" fillId="8" borderId="0" xfId="0" applyNumberFormat="1" applyFont="1" applyFill="1" applyAlignment="1">
      <alignment vertical="center"/>
    </xf>
    <xf numFmtId="0" fontId="4" fillId="8" borderId="0" xfId="0" applyFont="1" applyFill="1" applyAlignment="1">
      <alignment vertical="center"/>
    </xf>
    <xf numFmtId="41" fontId="20" fillId="8" borderId="0" xfId="0" applyNumberFormat="1" applyFont="1" applyFill="1" applyAlignment="1">
      <alignment horizontal="right" vertical="top"/>
    </xf>
    <xf numFmtId="0" fontId="18" fillId="8" borderId="0" xfId="0" applyFont="1" applyFill="1" applyAlignment="1">
      <alignment vertical="top"/>
    </xf>
    <xf numFmtId="0" fontId="32" fillId="8" borderId="0" xfId="0" applyFont="1" applyFill="1" applyAlignment="1">
      <alignment horizontal="center" vertical="top"/>
    </xf>
    <xf numFmtId="0" fontId="32" fillId="8" borderId="0" xfId="0" applyFont="1" applyFill="1" applyAlignment="1">
      <alignment vertical="top"/>
    </xf>
    <xf numFmtId="0" fontId="32" fillId="8" borderId="0" xfId="0" applyFont="1" applyFill="1" applyAlignment="1">
      <alignment horizontal="right" vertical="top"/>
    </xf>
    <xf numFmtId="0" fontId="12" fillId="8" borderId="0" xfId="0" applyFont="1" applyFill="1" applyAlignment="1">
      <alignment vertical="top"/>
    </xf>
    <xf numFmtId="0" fontId="7" fillId="0" borderId="0" xfId="0" applyFont="1" applyAlignment="1">
      <alignment horizontal="left" vertical="center"/>
    </xf>
    <xf numFmtId="0" fontId="33" fillId="8" borderId="1" xfId="0" applyFont="1" applyFill="1" applyBorder="1" applyAlignment="1">
      <alignment horizontal="center" vertical="top"/>
    </xf>
    <xf numFmtId="0" fontId="9" fillId="8" borderId="1" xfId="0" applyFont="1" applyFill="1" applyBorder="1" applyAlignment="1">
      <alignment horizontal="center"/>
    </xf>
    <xf numFmtId="0" fontId="22" fillId="8" borderId="0" xfId="0" applyFont="1" applyFill="1" applyAlignment="1">
      <alignment horizontal="right" vertical="center"/>
    </xf>
    <xf numFmtId="41" fontId="23" fillId="8" borderId="7" xfId="0" applyNumberFormat="1" applyFont="1" applyFill="1" applyBorder="1" applyAlignment="1">
      <alignment horizontal="center" vertical="center"/>
    </xf>
    <xf numFmtId="41" fontId="23" fillId="8" borderId="8" xfId="0" applyNumberFormat="1" applyFont="1" applyFill="1" applyBorder="1" applyAlignment="1">
      <alignment horizontal="center" vertical="center"/>
    </xf>
    <xf numFmtId="41" fontId="23" fillId="8" borderId="9" xfId="0" applyNumberFormat="1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left"/>
    </xf>
    <xf numFmtId="0" fontId="12" fillId="8" borderId="0" xfId="0" applyFont="1" applyFill="1" applyAlignment="1">
      <alignment horizontal="center"/>
    </xf>
    <xf numFmtId="0" fontId="31" fillId="8" borderId="1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41" fontId="30" fillId="8" borderId="1" xfId="0" applyNumberFormat="1" applyFont="1" applyFill="1" applyBorder="1" applyAlignment="1">
      <alignment horizontal="center" vertical="center"/>
    </xf>
    <xf numFmtId="0" fontId="17" fillId="8" borderId="0" xfId="0" applyFont="1" applyFill="1" applyAlignment="1">
      <alignment horizontal="left" vertical="center"/>
    </xf>
    <xf numFmtId="0" fontId="17" fillId="8" borderId="0" xfId="0" applyFont="1" applyFill="1" applyAlignment="1">
      <alignment horizontal="left" vertical="top" wrapText="1"/>
    </xf>
    <xf numFmtId="0" fontId="29" fillId="8" borderId="0" xfId="0" applyFont="1" applyFill="1" applyAlignment="1">
      <alignment horizontal="center" vertical="center"/>
    </xf>
    <xf numFmtId="0" fontId="12" fillId="8" borderId="11" xfId="0" quotePrefix="1" applyFont="1" applyFill="1" applyBorder="1" applyAlignment="1">
      <alignment horizontal="center" vertical="center"/>
    </xf>
    <xf numFmtId="0" fontId="12" fillId="8" borderId="11" xfId="0" applyFont="1" applyFill="1" applyBorder="1" applyAlignment="1">
      <alignment horizontal="center" vertical="center"/>
    </xf>
    <xf numFmtId="0" fontId="32" fillId="8" borderId="1" xfId="0" applyFont="1" applyFill="1" applyBorder="1" applyAlignment="1">
      <alignment horizontal="center" vertical="top"/>
    </xf>
    <xf numFmtId="0" fontId="12" fillId="8" borderId="1" xfId="0" applyFont="1" applyFill="1" applyBorder="1" applyAlignment="1">
      <alignment horizontal="center" vertical="center" wrapText="1"/>
    </xf>
    <xf numFmtId="0" fontId="25" fillId="8" borderId="4" xfId="0" applyFont="1" applyFill="1" applyBorder="1" applyAlignment="1">
      <alignment horizontal="left" vertical="center"/>
    </xf>
    <xf numFmtId="0" fontId="9" fillId="8" borderId="0" xfId="0" applyFont="1" applyFill="1" applyAlignment="1">
      <alignment horizontal="center" vertical="center"/>
    </xf>
    <xf numFmtId="0" fontId="12" fillId="8" borderId="0" xfId="0" applyFont="1" applyFill="1" applyAlignment="1">
      <alignment horizontal="left" vertical="top" wrapText="1"/>
    </xf>
    <xf numFmtId="0" fontId="14" fillId="8" borderId="0" xfId="0" applyFont="1" applyFill="1" applyAlignment="1">
      <alignment horizontal="center" vertical="center"/>
    </xf>
    <xf numFmtId="0" fontId="2" fillId="8" borderId="4" xfId="0" applyFont="1" applyFill="1" applyBorder="1" applyAlignment="1">
      <alignment horizontal="center" vertical="center" wrapText="1"/>
    </xf>
    <xf numFmtId="0" fontId="2" fillId="8" borderId="0" xfId="0" quotePrefix="1" applyFont="1" applyFill="1" applyAlignment="1">
      <alignment horizontal="left" vertical="center" wrapText="1"/>
    </xf>
    <xf numFmtId="0" fontId="2" fillId="8" borderId="0" xfId="0" applyFont="1" applyFill="1" applyAlignment="1">
      <alignment horizontal="left" vertical="center" wrapText="1"/>
    </xf>
    <xf numFmtId="0" fontId="2" fillId="8" borderId="0" xfId="0" applyFont="1" applyFill="1" applyAlignment="1">
      <alignment horizontal="left" vertical="top" wrapText="1"/>
    </xf>
    <xf numFmtId="0" fontId="12" fillId="8" borderId="0" xfId="0" applyFont="1" applyFill="1" applyAlignment="1">
      <alignment horizontal="center" vertical="center"/>
    </xf>
    <xf numFmtId="0" fontId="17" fillId="8" borderId="0" xfId="0" applyFont="1" applyFill="1" applyAlignment="1">
      <alignment horizontal="center"/>
    </xf>
    <xf numFmtId="0" fontId="16" fillId="8" borderId="4" xfId="0" applyFont="1" applyFill="1" applyBorder="1" applyAlignment="1">
      <alignment horizontal="left" vertical="center" wrapText="1"/>
    </xf>
    <xf numFmtId="0" fontId="2" fillId="8" borderId="4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left" vertical="top"/>
    </xf>
    <xf numFmtId="0" fontId="10" fillId="8" borderId="0" xfId="0" applyFont="1" applyFill="1" applyAlignment="1">
      <alignment horizontal="left"/>
    </xf>
    <xf numFmtId="0" fontId="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100317</xdr:colOff>
      <xdr:row>52</xdr:row>
      <xdr:rowOff>106067</xdr:rowOff>
    </xdr:from>
    <xdr:ext cx="617838" cy="46628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667612" y="10514294"/>
          <a:ext cx="617838" cy="466281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100" b="1"/>
            <a:t>রাজস্ব</a:t>
          </a:r>
        </a:p>
        <a:p>
          <a:pPr algn="ctr"/>
          <a:endParaRPr lang="en-US" sz="1100" b="1"/>
        </a:p>
      </xdr:txBody>
    </xdr:sp>
    <xdr:clientData/>
  </xdr:oneCellAnchor>
  <xdr:twoCellAnchor editAs="oneCell">
    <xdr:from>
      <xdr:col>1</xdr:col>
      <xdr:colOff>5408</xdr:colOff>
      <xdr:row>0</xdr:row>
      <xdr:rowOff>17319</xdr:rowOff>
    </xdr:from>
    <xdr:to>
      <xdr:col>1</xdr:col>
      <xdr:colOff>448540</xdr:colOff>
      <xdr:row>0</xdr:row>
      <xdr:rowOff>657399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863" y="17319"/>
          <a:ext cx="443132" cy="6400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J48"/>
  <sheetViews>
    <sheetView topLeftCell="A19" zoomScale="92" workbookViewId="0">
      <selection activeCell="B41" sqref="B41"/>
    </sheetView>
  </sheetViews>
  <sheetFormatPr defaultColWidth="9.140625" defaultRowHeight="15" x14ac:dyDescent="0.25"/>
  <cols>
    <col min="1" max="1" width="16.5703125" style="8" bestFit="1" customWidth="1"/>
    <col min="2" max="2" width="39.85546875" style="8" bestFit="1" customWidth="1"/>
    <col min="3" max="3" width="9.42578125" style="8" bestFit="1" customWidth="1"/>
    <col min="4" max="4" width="14.85546875" style="8" bestFit="1" customWidth="1"/>
    <col min="5" max="5" width="13.42578125" style="8" bestFit="1" customWidth="1"/>
    <col min="6" max="9" width="9.140625" style="8"/>
    <col min="10" max="10" width="0" style="8" hidden="1" customWidth="1"/>
    <col min="11" max="16384" width="9.140625" style="8"/>
  </cols>
  <sheetData>
    <row r="1" spans="1:10" ht="18.75" customHeight="1" x14ac:dyDescent="0.25">
      <c r="A1" s="4" t="s">
        <v>2</v>
      </c>
      <c r="B1" s="5" t="s">
        <v>28</v>
      </c>
      <c r="C1" s="6"/>
      <c r="D1" s="7" t="s">
        <v>6</v>
      </c>
      <c r="E1" s="14">
        <v>2</v>
      </c>
    </row>
    <row r="2" spans="1:10" ht="19.5" customHeight="1" x14ac:dyDescent="0.25">
      <c r="A2" s="4" t="s">
        <v>3</v>
      </c>
      <c r="B2" s="5" t="s">
        <v>10</v>
      </c>
      <c r="C2" s="6"/>
      <c r="D2" s="7" t="s">
        <v>7</v>
      </c>
      <c r="E2" s="14">
        <v>2</v>
      </c>
    </row>
    <row r="3" spans="1:10" ht="20.25" customHeight="1" x14ac:dyDescent="0.25">
      <c r="D3" s="7" t="s">
        <v>8</v>
      </c>
      <c r="E3" s="15" t="s">
        <v>32</v>
      </c>
    </row>
    <row r="4" spans="1:10" ht="16.5" customHeight="1" x14ac:dyDescent="0.25">
      <c r="A4" s="4" t="s">
        <v>12</v>
      </c>
      <c r="B4" s="9" t="s">
        <v>13</v>
      </c>
      <c r="D4" s="7" t="s">
        <v>11</v>
      </c>
      <c r="E4" s="16" t="s">
        <v>91</v>
      </c>
      <c r="F4" s="17" t="s">
        <v>92</v>
      </c>
    </row>
    <row r="6" spans="1:10" ht="15.75" x14ac:dyDescent="0.25">
      <c r="A6" s="66" t="str">
        <f>PrintBill!A12</f>
        <v>১. প্রশ্নপত্র প্রণয়নঃ</v>
      </c>
      <c r="B6" s="66"/>
    </row>
    <row r="7" spans="1:10" x14ac:dyDescent="0.25">
      <c r="A7" s="10" t="s">
        <v>21</v>
      </c>
      <c r="B7" s="10" t="s">
        <v>22</v>
      </c>
      <c r="C7" s="10" t="s">
        <v>23</v>
      </c>
    </row>
    <row r="8" spans="1:10" x14ac:dyDescent="0.25">
      <c r="A8" s="11" t="s">
        <v>51</v>
      </c>
      <c r="B8" s="11" t="s">
        <v>29</v>
      </c>
      <c r="C8" s="13">
        <v>2</v>
      </c>
      <c r="J8" s="8" t="str">
        <f>CONCATENATE(A8,IF(ISBLANK(A9),"",", "&amp;A9),IF(ISBLANK(A10),"",", "&amp;A10),IF(ISBLANK(A11),"",", "&amp;A11))</f>
        <v>CSE 2205, SE 2209</v>
      </c>
    </row>
    <row r="9" spans="1:10" x14ac:dyDescent="0.25">
      <c r="A9" s="11" t="s">
        <v>33</v>
      </c>
      <c r="B9" s="11" t="s">
        <v>34</v>
      </c>
      <c r="C9" s="13">
        <v>2</v>
      </c>
    </row>
    <row r="10" spans="1:10" x14ac:dyDescent="0.25">
      <c r="A10" s="11"/>
      <c r="B10" s="11"/>
      <c r="C10" s="11"/>
    </row>
    <row r="11" spans="1:10" x14ac:dyDescent="0.25">
      <c r="A11" s="11"/>
      <c r="B11" s="11"/>
      <c r="C11" s="11"/>
    </row>
    <row r="13" spans="1:10" ht="15.75" x14ac:dyDescent="0.25">
      <c r="A13" s="12" t="str">
        <f>PrintBill!A17</f>
        <v>২. প্রশ্নপত্র সমন্বয় সাধনঃ</v>
      </c>
      <c r="B13" s="12"/>
    </row>
    <row r="14" spans="1:10" ht="27" customHeight="1" x14ac:dyDescent="0.25">
      <c r="A14" s="10" t="s">
        <v>35</v>
      </c>
      <c r="B14" s="21" t="s">
        <v>88</v>
      </c>
      <c r="C14" s="10" t="s">
        <v>36</v>
      </c>
      <c r="D14" s="13">
        <v>8</v>
      </c>
      <c r="E14" s="10" t="s">
        <v>37</v>
      </c>
      <c r="F14" s="13">
        <v>5</v>
      </c>
    </row>
    <row r="16" spans="1:10" ht="15.75" x14ac:dyDescent="0.25">
      <c r="A16" s="12" t="str">
        <f>PrintBill!A18</f>
        <v>৩. ক্লাস টেস্ট / টার্ম পেপার / হোমওয়ার্ক / এসাইনমেন্টঃ</v>
      </c>
    </row>
    <row r="17" spans="1:5" x14ac:dyDescent="0.25">
      <c r="A17" s="10" t="s">
        <v>21</v>
      </c>
      <c r="B17" s="10" t="s">
        <v>22</v>
      </c>
      <c r="C17" s="18" t="s">
        <v>38</v>
      </c>
      <c r="D17" s="10" t="s">
        <v>39</v>
      </c>
    </row>
    <row r="18" spans="1:5" x14ac:dyDescent="0.25">
      <c r="A18" s="11" t="s">
        <v>33</v>
      </c>
      <c r="B18" s="11" t="s">
        <v>34</v>
      </c>
      <c r="C18" s="13">
        <v>33</v>
      </c>
      <c r="D18" s="13">
        <v>3</v>
      </c>
    </row>
    <row r="19" spans="1:5" x14ac:dyDescent="0.25">
      <c r="A19" s="11"/>
      <c r="B19" s="11"/>
      <c r="C19" s="13"/>
      <c r="D19" s="13"/>
    </row>
    <row r="20" spans="1:5" x14ac:dyDescent="0.25">
      <c r="A20" s="11"/>
      <c r="B20" s="11"/>
      <c r="C20" s="11"/>
      <c r="D20" s="11"/>
    </row>
    <row r="22" spans="1:5" ht="15.75" x14ac:dyDescent="0.25">
      <c r="A22" s="12" t="str">
        <f>PrintBill!A22</f>
        <v>৪. উত্তর পত্র মূল্যায়নঃ</v>
      </c>
    </row>
    <row r="23" spans="1:5" x14ac:dyDescent="0.25">
      <c r="A23" s="10" t="s">
        <v>21</v>
      </c>
      <c r="B23" s="10" t="s">
        <v>22</v>
      </c>
      <c r="C23" s="18" t="s">
        <v>23</v>
      </c>
      <c r="D23" s="18" t="s">
        <v>38</v>
      </c>
      <c r="E23" s="18" t="s">
        <v>41</v>
      </c>
    </row>
    <row r="24" spans="1:5" x14ac:dyDescent="0.25">
      <c r="A24" s="11" t="s">
        <v>51</v>
      </c>
      <c r="B24" s="11" t="s">
        <v>29</v>
      </c>
      <c r="C24" s="13">
        <v>2</v>
      </c>
      <c r="D24" s="13">
        <v>33</v>
      </c>
      <c r="E24" s="19">
        <f>IF(ISBLANK(A24),0,IF(C24&gt;3,120, 90))</f>
        <v>90</v>
      </c>
    </row>
    <row r="25" spans="1:5" x14ac:dyDescent="0.25">
      <c r="A25" s="11" t="s">
        <v>33</v>
      </c>
      <c r="B25" s="11" t="s">
        <v>34</v>
      </c>
      <c r="C25" s="13">
        <v>2</v>
      </c>
      <c r="D25" s="13">
        <v>36</v>
      </c>
      <c r="E25" s="19">
        <f t="shared" ref="E25:E28" si="0">IF(ISBLANK(A25),0,IF(C25&gt;3,120, 90))</f>
        <v>90</v>
      </c>
    </row>
    <row r="26" spans="1:5" x14ac:dyDescent="0.25">
      <c r="A26" s="11"/>
      <c r="B26" s="11"/>
      <c r="C26" s="11"/>
      <c r="D26" s="11"/>
      <c r="E26" s="19">
        <f t="shared" si="0"/>
        <v>0</v>
      </c>
    </row>
    <row r="27" spans="1:5" x14ac:dyDescent="0.25">
      <c r="A27" s="11"/>
      <c r="B27" s="11"/>
      <c r="C27" s="11"/>
      <c r="D27" s="11"/>
      <c r="E27" s="19">
        <f t="shared" si="0"/>
        <v>0</v>
      </c>
    </row>
    <row r="28" spans="1:5" x14ac:dyDescent="0.25">
      <c r="A28" s="11"/>
      <c r="B28" s="11"/>
      <c r="C28" s="11"/>
      <c r="D28" s="11"/>
      <c r="E28" s="19">
        <f t="shared" si="0"/>
        <v>0</v>
      </c>
    </row>
    <row r="30" spans="1:5" x14ac:dyDescent="0.25">
      <c r="A30" s="20" t="str">
        <f>PrintBill!A28</f>
        <v>৫. ব্যবহারিক পরীক্ষাঃ</v>
      </c>
    </row>
    <row r="31" spans="1:5" x14ac:dyDescent="0.25">
      <c r="A31" s="10" t="s">
        <v>21</v>
      </c>
      <c r="B31" s="10" t="s">
        <v>22</v>
      </c>
      <c r="C31" s="18" t="s">
        <v>47</v>
      </c>
      <c r="D31" s="18" t="s">
        <v>48</v>
      </c>
    </row>
    <row r="32" spans="1:5" x14ac:dyDescent="0.25">
      <c r="A32" s="11" t="s">
        <v>49</v>
      </c>
      <c r="B32" s="11" t="s">
        <v>55</v>
      </c>
      <c r="C32" s="13">
        <v>1</v>
      </c>
      <c r="D32" s="13">
        <v>3</v>
      </c>
    </row>
    <row r="33" spans="1:6" x14ac:dyDescent="0.25">
      <c r="A33" s="11" t="s">
        <v>50</v>
      </c>
      <c r="B33" s="11" t="s">
        <v>54</v>
      </c>
      <c r="C33" s="13">
        <v>1</v>
      </c>
      <c r="D33" s="13">
        <v>3</v>
      </c>
    </row>
    <row r="34" spans="1:6" x14ac:dyDescent="0.25">
      <c r="A34" s="11" t="s">
        <v>52</v>
      </c>
      <c r="B34" s="11" t="s">
        <v>53</v>
      </c>
      <c r="C34" s="13">
        <v>1</v>
      </c>
      <c r="D34" s="13">
        <v>3</v>
      </c>
    </row>
    <row r="35" spans="1:6" x14ac:dyDescent="0.25">
      <c r="A35" s="11"/>
      <c r="B35" s="11"/>
      <c r="C35" s="13"/>
      <c r="D35" s="13"/>
    </row>
    <row r="37" spans="1:6" x14ac:dyDescent="0.25">
      <c r="A37" s="20" t="str">
        <f>PrintBill!A33</f>
        <v>৬. মৌখিক পরীক্ষাঃ</v>
      </c>
    </row>
    <row r="38" spans="1:6" x14ac:dyDescent="0.25">
      <c r="A38" s="20"/>
    </row>
    <row r="39" spans="1:6" x14ac:dyDescent="0.25">
      <c r="A39" s="20" t="str">
        <f>PrintBill!A34</f>
        <v>৭. পরীক্ষার ফল সন্নিবেশ করণঃ</v>
      </c>
    </row>
    <row r="40" spans="1:6" ht="31.5" customHeight="1" x14ac:dyDescent="0.25">
      <c r="A40" s="10" t="s">
        <v>35</v>
      </c>
      <c r="B40" s="21">
        <v>10</v>
      </c>
      <c r="C40" s="18" t="s">
        <v>38</v>
      </c>
      <c r="D40" s="13">
        <v>34</v>
      </c>
    </row>
    <row r="42" spans="1:6" x14ac:dyDescent="0.25">
      <c r="A42" s="20" t="str">
        <f>PrintBill!A36</f>
        <v>৮. উত্তরপত্র নিরীক্ষাঃ</v>
      </c>
    </row>
    <row r="43" spans="1:6" ht="29.1" customHeight="1" x14ac:dyDescent="0.25">
      <c r="A43" s="10" t="s">
        <v>35</v>
      </c>
      <c r="B43" s="21"/>
      <c r="C43" s="18" t="s">
        <v>38</v>
      </c>
      <c r="D43" s="13">
        <v>33</v>
      </c>
      <c r="E43" s="18" t="s">
        <v>85</v>
      </c>
      <c r="F43" s="13">
        <v>6</v>
      </c>
    </row>
    <row r="45" spans="1:6" x14ac:dyDescent="0.25">
      <c r="A45" s="20" t="str">
        <f>PrintBill!A38</f>
        <v>৯. পরীক্ষা পরিষদের সভাপতি / সদস্য (সম্মানী ভাতা)</v>
      </c>
      <c r="C45" s="22" t="s">
        <v>61</v>
      </c>
    </row>
    <row r="47" spans="1:6" ht="15.75" hidden="1" x14ac:dyDescent="0.25">
      <c r="A47" s="8" t="s">
        <v>65</v>
      </c>
      <c r="B47" s="23">
        <f>PrintBill!J41</f>
        <v>30070</v>
      </c>
    </row>
    <row r="48" spans="1:6" hidden="1" x14ac:dyDescent="0.25">
      <c r="A48" s="8" t="s">
        <v>66</v>
      </c>
      <c r="B48" s="24" t="s">
        <v>67</v>
      </c>
    </row>
  </sheetData>
  <mergeCells count="1">
    <mergeCell ref="A6:B6"/>
  </mergeCells>
  <dataValidations count="3">
    <dataValidation type="whole" operator="lessThanOrEqual" allowBlank="1" showInputMessage="1" showErrorMessage="1" sqref="D18:D20" xr:uid="{00000000-0002-0000-0000-000000000000}">
      <formula1>3</formula1>
    </dataValidation>
    <dataValidation operator="lessThanOrEqual" allowBlank="1" showInputMessage="1" showErrorMessage="1" sqref="D32:D35" xr:uid="{00000000-0002-0000-0000-000001000000}"/>
    <dataValidation type="list" allowBlank="1" showInputMessage="1" showErrorMessage="1" sqref="C45" xr:uid="{00000000-0002-0000-0000-000002000000}">
      <formula1>"সভাপতি, সদস্য, প্রযোজ্য নয়"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/>
  </sheetPr>
  <dimension ref="A1:N68"/>
  <sheetViews>
    <sheetView tabSelected="1" view="pageLayout" topLeftCell="A7" zoomScale="110" zoomScaleNormal="100" zoomScalePageLayoutView="110" workbookViewId="0">
      <selection activeCell="L17" sqref="L17"/>
    </sheetView>
  </sheetViews>
  <sheetFormatPr defaultColWidth="9.140625" defaultRowHeight="12.75" x14ac:dyDescent="0.25"/>
  <cols>
    <col min="1" max="1" width="5.140625" style="26" customWidth="1"/>
    <col min="2" max="2" width="9.28515625" style="26" customWidth="1"/>
    <col min="3" max="3" width="7.28515625" style="26" customWidth="1"/>
    <col min="4" max="4" width="11.28515625" style="26" customWidth="1"/>
    <col min="5" max="5" width="11.85546875" style="26" customWidth="1"/>
    <col min="6" max="6" width="10.5703125" style="26" customWidth="1"/>
    <col min="7" max="7" width="5.7109375" style="26" customWidth="1"/>
    <col min="8" max="8" width="5.140625" style="26" customWidth="1"/>
    <col min="9" max="9" width="6" style="26" customWidth="1"/>
    <col min="10" max="10" width="4.42578125" style="26" customWidth="1"/>
    <col min="11" max="11" width="4.5703125" style="26" customWidth="1"/>
    <col min="12" max="12" width="6.5703125" style="36" customWidth="1"/>
    <col min="13" max="13" width="7" style="54" customWidth="1"/>
    <col min="14" max="14" width="7.28515625" style="26" customWidth="1"/>
    <col min="15" max="16384" width="9.140625" style="26"/>
  </cols>
  <sheetData>
    <row r="1" spans="1:14" ht="55.5" customHeight="1" thickBot="1" x14ac:dyDescent="0.3">
      <c r="A1" s="25"/>
      <c r="B1" s="25"/>
      <c r="C1" s="91" t="s">
        <v>86</v>
      </c>
      <c r="D1" s="91"/>
      <c r="E1" s="91"/>
      <c r="F1" s="91"/>
      <c r="G1" s="97" t="s">
        <v>83</v>
      </c>
      <c r="H1" s="97"/>
      <c r="I1" s="97"/>
      <c r="J1" s="97"/>
      <c r="K1" s="98" t="s">
        <v>87</v>
      </c>
      <c r="L1" s="98"/>
      <c r="M1" s="98"/>
      <c r="N1" s="98"/>
    </row>
    <row r="2" spans="1:14" ht="14.45" customHeight="1" x14ac:dyDescent="0.25">
      <c r="A2" s="95" t="s">
        <v>0</v>
      </c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</row>
    <row r="3" spans="1:14" ht="13.5" x14ac:dyDescent="0.25">
      <c r="A3" s="27" t="s">
        <v>84</v>
      </c>
      <c r="B3" s="27"/>
      <c r="C3" s="27"/>
      <c r="D3" s="27"/>
      <c r="E3" s="27"/>
      <c r="F3" s="27"/>
      <c r="G3" s="27"/>
      <c r="H3" s="27"/>
      <c r="I3" s="27"/>
      <c r="J3" s="27"/>
      <c r="K3" s="27"/>
      <c r="L3" s="28"/>
      <c r="M3" s="29"/>
      <c r="N3" s="27"/>
    </row>
    <row r="4" spans="1:14" ht="8.4499999999999993" customHeight="1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8"/>
      <c r="M4" s="29"/>
      <c r="N4" s="27"/>
    </row>
    <row r="5" spans="1:14" ht="13.5" x14ac:dyDescent="0.25">
      <c r="A5" s="27" t="s">
        <v>1</v>
      </c>
      <c r="B5" s="27"/>
      <c r="C5" s="27"/>
      <c r="D5" s="27"/>
      <c r="E5" s="27"/>
      <c r="F5" s="27"/>
      <c r="G5" s="27"/>
      <c r="H5" s="27"/>
      <c r="I5" s="27"/>
      <c r="J5" s="27"/>
      <c r="K5" s="27"/>
      <c r="L5" s="28"/>
      <c r="M5" s="29"/>
      <c r="N5" s="27"/>
    </row>
    <row r="6" spans="1:14" ht="13.5" x14ac:dyDescent="0.25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8"/>
      <c r="M6" s="29"/>
      <c r="N6" s="27"/>
    </row>
    <row r="7" spans="1:14" ht="14.45" customHeight="1" x14ac:dyDescent="0.25">
      <c r="A7" s="27" t="s">
        <v>2</v>
      </c>
      <c r="B7" s="27"/>
      <c r="C7" s="80" t="str">
        <f>IF('Input Field'!B1&lt;&gt;"",'Input Field'!B1,"")</f>
        <v>মোঃ ইফতেখারুল আলম ইফাত</v>
      </c>
      <c r="D7" s="80"/>
      <c r="E7" s="80"/>
      <c r="F7" s="27"/>
      <c r="G7" s="27" t="s">
        <v>4</v>
      </c>
      <c r="H7" s="27"/>
      <c r="I7" s="27"/>
      <c r="J7" s="96" t="s">
        <v>5</v>
      </c>
      <c r="K7" s="96"/>
      <c r="L7" s="96"/>
      <c r="M7" s="96"/>
      <c r="N7" s="96"/>
    </row>
    <row r="8" spans="1:14" ht="14.45" customHeight="1" x14ac:dyDescent="0.3">
      <c r="A8" s="27" t="s">
        <v>3</v>
      </c>
      <c r="B8" s="27"/>
      <c r="C8" s="81" t="str">
        <f>IF('Input Field'!B2&lt;&gt;"",'Input Field'!B2,"")</f>
        <v>সহকারী অধ্যাপক, আই আই টি, নোবিপ্রবি</v>
      </c>
      <c r="D8" s="81"/>
      <c r="E8" s="81"/>
      <c r="F8" s="27"/>
      <c r="G8" s="27" t="s">
        <v>6</v>
      </c>
      <c r="H8" s="31">
        <f>IF('Input Field'!E1&lt;&gt;"",'Input Field'!E1,"")</f>
        <v>2</v>
      </c>
      <c r="I8" s="27" t="s">
        <v>7</v>
      </c>
      <c r="J8" s="31">
        <f>IF('Input Field'!E2&lt;&gt;"",'Input Field'!E2,"")</f>
        <v>2</v>
      </c>
      <c r="K8" s="31"/>
      <c r="L8" s="30" t="s">
        <v>8</v>
      </c>
      <c r="M8" s="100" t="str">
        <f>IF('Input Field'!E3&lt;&gt;"",'Input Field'!E3,"")</f>
        <v>2018-2019</v>
      </c>
      <c r="N8" s="100"/>
    </row>
    <row r="9" spans="1:14" ht="15" customHeight="1" x14ac:dyDescent="0.25">
      <c r="A9" s="27"/>
      <c r="B9" s="27"/>
      <c r="C9" s="81"/>
      <c r="D9" s="81"/>
      <c r="E9" s="81"/>
      <c r="F9" s="27"/>
      <c r="G9" s="30" t="s">
        <v>9</v>
      </c>
      <c r="H9" s="30"/>
      <c r="I9" s="30"/>
      <c r="J9" s="75" t="str">
        <f>'Input Field'!E4&amp;" থেকে "&amp;'Input Field'!F4&amp;" পর্যন্ত"</f>
        <v xml:space="preserve"> ৮/১২/২১ থেকে ২০/১/২২ পর্যন্ত</v>
      </c>
      <c r="K9" s="75"/>
      <c r="L9" s="75"/>
      <c r="M9" s="75"/>
      <c r="N9" s="75"/>
    </row>
    <row r="10" spans="1:14" ht="16.5" customHeight="1" thickBot="1" x14ac:dyDescent="0.3">
      <c r="A10" s="61" t="str">
        <f>'Input Field'!B4&amp;" সনের পরীক্ষা সমূহের প্রশ্নপত্র সমন্বয় সাধন এবং উত্তরপত্র মূল্যায়ন ইত্যাদির জন্য আমার পারিশ্রমিকের দাবীসমূহ নিম্নে সন্নিবেশিত হলোঃ-"</f>
        <v>২০২০ সনের পরীক্ষা সমূহের প্রশ্নপত্র সমন্বয় সাধন এবং উত্তরপত্র মূল্যায়ন ইত্যাদির জন্য আমার পারিশ্রমিকের দাবীসমূহ নিম্নে সন্নিবেশিত হলোঃ-</v>
      </c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</row>
    <row r="11" spans="1:14" ht="14.45" customHeight="1" thickBot="1" x14ac:dyDescent="0.3">
      <c r="A11" s="27"/>
      <c r="B11" s="27"/>
      <c r="C11" s="27"/>
      <c r="D11" s="27"/>
      <c r="E11" s="27"/>
      <c r="F11" s="27"/>
      <c r="G11" s="27"/>
      <c r="H11" s="27"/>
      <c r="I11" s="27"/>
      <c r="J11" s="73" t="s">
        <v>31</v>
      </c>
      <c r="K11" s="74"/>
      <c r="L11" s="74"/>
      <c r="M11" s="74"/>
      <c r="N11" s="32" t="s">
        <v>30</v>
      </c>
    </row>
    <row r="12" spans="1:14" ht="13.5" x14ac:dyDescent="0.25">
      <c r="A12" s="75" t="s">
        <v>42</v>
      </c>
      <c r="B12" s="75"/>
      <c r="C12" s="33"/>
      <c r="D12" s="27"/>
      <c r="E12" s="27"/>
      <c r="F12" s="27"/>
      <c r="G12" s="27"/>
      <c r="H12" s="27"/>
      <c r="I12" s="27"/>
      <c r="J12" s="34"/>
      <c r="K12" s="27"/>
      <c r="L12" s="28"/>
      <c r="M12" s="29"/>
      <c r="N12" s="35"/>
    </row>
    <row r="13" spans="1:14" ht="14.45" customHeight="1" x14ac:dyDescent="0.3">
      <c r="A13" s="36" t="s">
        <v>24</v>
      </c>
      <c r="B13" s="26" t="str">
        <f>IF('Input Field'!A8&lt;&gt;"","একটি "&amp;'Input Field'!C8&amp;" ঘন্টার পরীক্ষার "&amp;'Input Field'!B8&amp;" বিষয় "&amp;'Input Field'!A8&amp;" কোর্স কোড","")</f>
        <v>একটি 2 ঘন্টার পরীক্ষার Information Security বিষয় CSE 2205 কোর্স কোড</v>
      </c>
      <c r="F13" s="27"/>
      <c r="G13" s="27"/>
      <c r="H13" s="27"/>
      <c r="I13" s="27"/>
      <c r="J13" s="34"/>
      <c r="K13" s="27"/>
      <c r="L13" s="37"/>
      <c r="M13" s="38">
        <f>IF('Input Field'!C8&lt;&gt;"",IF('Input Field'!C8&gt;3,1500,1350),"-")</f>
        <v>1350</v>
      </c>
      <c r="N13" s="35"/>
    </row>
    <row r="14" spans="1:14" ht="14.25" x14ac:dyDescent="0.3">
      <c r="A14" s="36" t="s">
        <v>25</v>
      </c>
      <c r="B14" s="26" t="str">
        <f>IF('Input Field'!A9&lt;&gt;"","একটি "&amp;'Input Field'!C9&amp;" ঘন্টার পরীক্ষার "&amp;'Input Field'!B9&amp;" বিষয় "&amp;'Input Field'!A9&amp;" কোর্স কোড","")</f>
        <v>একটি 2 ঘন্টার পরীক্ষার Software Requirement Specification &amp; Analysis বিষয় SE 2209 কোর্স কোড</v>
      </c>
      <c r="F14" s="27"/>
      <c r="G14" s="27"/>
      <c r="H14" s="27"/>
      <c r="I14" s="27"/>
      <c r="J14" s="34"/>
      <c r="K14" s="27"/>
      <c r="L14" s="28"/>
      <c r="M14" s="38">
        <f>IF('Input Field'!C9&lt;&gt;"",IF('Input Field'!C9&gt;3,1500,1350),"-")</f>
        <v>1350</v>
      </c>
      <c r="N14" s="35"/>
    </row>
    <row r="15" spans="1:14" ht="14.25" x14ac:dyDescent="0.3">
      <c r="A15" s="36" t="s">
        <v>26</v>
      </c>
      <c r="B15" s="26" t="str">
        <f>IF('Input Field'!A10&lt;&gt;"","একটি "&amp;'Input Field'!C10&amp;" ঘন্টার পরীক্ষার "&amp;'Input Field'!B10&amp;" বিষয় "&amp;'Input Field'!A10&amp;" কোর্স কোড","")</f>
        <v/>
      </c>
      <c r="F15" s="27"/>
      <c r="G15" s="27"/>
      <c r="H15" s="27"/>
      <c r="I15" s="27"/>
      <c r="J15" s="34"/>
      <c r="K15" s="27"/>
      <c r="L15" s="28"/>
      <c r="M15" s="38" t="str">
        <f>IF('Input Field'!C10&lt;&gt;"",IF('Input Field'!C10&gt;3,1500,1350),"-")</f>
        <v>-</v>
      </c>
      <c r="N15" s="35"/>
    </row>
    <row r="16" spans="1:14" ht="14.25" x14ac:dyDescent="0.3">
      <c r="A16" s="36" t="s">
        <v>27</v>
      </c>
      <c r="B16" s="26" t="str">
        <f>IF('Input Field'!A11&lt;&gt;"","একটি "&amp;'Input Field'!C11&amp;" ঘন্টার পরীক্ষার "&amp;'Input Field'!B11&amp;" বিষয় "&amp;'Input Field'!A11&amp;" কোর্স কোড","")</f>
        <v/>
      </c>
      <c r="F16" s="27"/>
      <c r="G16" s="27"/>
      <c r="H16" s="27"/>
      <c r="I16" s="27"/>
      <c r="J16" s="34"/>
      <c r="K16" s="27"/>
      <c r="L16" s="28"/>
      <c r="M16" s="38" t="str">
        <f>IF('Input Field'!C11&lt;&gt;"",IF('Input Field'!C11&gt;3,1500,1350),"-")</f>
        <v>-</v>
      </c>
      <c r="N16" s="35"/>
    </row>
    <row r="17" spans="1:14" ht="24.6" customHeight="1" x14ac:dyDescent="0.25">
      <c r="A17" s="99" t="s">
        <v>43</v>
      </c>
      <c r="B17" s="99"/>
      <c r="C17" s="94" t="str">
        <f>IF(ISBLANK('Input Field'!B14), "নেই বা N/A","Y"&amp;'Input Field'!E1&amp;"T"&amp;'Input Field'!E2&amp;" পরীক্ষার "&amp;'Input Field'!B14&amp;" বিষয় "&amp;'Input Field'!D14&amp;" টা প্রশ্নপত্র "&amp;'Input Field'!F14&amp;" জন সদস্য করেন।")</f>
        <v>Y2T2 পরীক্ষার CSE 2201, CSE 2205, CSE 2207, SE 2209 বিষয় 8 টা প্রশ্নপত্র 5 জন সদস্য করেন।</v>
      </c>
      <c r="D17" s="94"/>
      <c r="E17" s="94"/>
      <c r="F17" s="94"/>
      <c r="G17" s="94"/>
      <c r="H17" s="94"/>
      <c r="I17" s="27"/>
      <c r="J17" s="34"/>
      <c r="K17" s="27"/>
      <c r="L17" s="28"/>
      <c r="M17" s="43">
        <f>MIN('Input Field'!D14*800,2000)</f>
        <v>2000</v>
      </c>
      <c r="N17" s="35"/>
    </row>
    <row r="18" spans="1:14" ht="16.5" customHeight="1" x14ac:dyDescent="0.25">
      <c r="A18" s="56" t="s">
        <v>44</v>
      </c>
      <c r="B18" s="40"/>
      <c r="C18" s="40"/>
      <c r="D18" s="27"/>
      <c r="E18" s="27"/>
      <c r="F18" s="27"/>
      <c r="G18" s="27"/>
      <c r="H18" s="27"/>
      <c r="I18" s="27"/>
      <c r="J18" s="34"/>
      <c r="K18" s="27"/>
      <c r="L18" s="28"/>
      <c r="M18" s="29"/>
      <c r="N18" s="35"/>
    </row>
    <row r="19" spans="1:14" ht="14.25" x14ac:dyDescent="0.3">
      <c r="A19" s="36" t="s">
        <v>24</v>
      </c>
      <c r="B19" s="26" t="str">
        <f>IF(ISBLANK('Input Field'!A18),"",'Input Field'!A18&amp;"  :  "&amp;'Input Field'!B18)</f>
        <v>SE 2209  :  Software Requirement Specification &amp; Analysis</v>
      </c>
      <c r="G19" s="27"/>
      <c r="H19" s="27"/>
      <c r="I19" s="27"/>
      <c r="J19" s="34"/>
      <c r="K19" s="27"/>
      <c r="L19" s="37" t="str">
        <f>IF(ISBLANK('Input Field'!C18),"",'Input Field'!C18&amp;" &gt;&lt; "&amp;'Input Field'!D18&amp;" &gt;&lt; 40  =")</f>
        <v>33 &gt;&lt; 3 &gt;&lt; 40  =</v>
      </c>
      <c r="M19" s="39">
        <f>'Input Field'!C18*'Input Field'!D18*40</f>
        <v>3960</v>
      </c>
      <c r="N19" s="35"/>
    </row>
    <row r="20" spans="1:14" ht="14.25" x14ac:dyDescent="0.3">
      <c r="A20" s="36" t="s">
        <v>25</v>
      </c>
      <c r="B20" s="26" t="str">
        <f>IF(ISBLANK('Input Field'!A19),"",'Input Field'!A19&amp;"  :  "&amp;'Input Field'!B19)</f>
        <v/>
      </c>
      <c r="G20" s="27"/>
      <c r="H20" s="27"/>
      <c r="I20" s="27"/>
      <c r="J20" s="34"/>
      <c r="K20" s="27"/>
      <c r="L20" s="37" t="str">
        <f>IF(ISBLANK('Input Field'!C19),"",'Input Field'!C19&amp;" &gt;&lt; "&amp;'Input Field'!D19&amp;" &gt;&lt; 40  =")</f>
        <v/>
      </c>
      <c r="M20" s="39">
        <f>'Input Field'!C19*'Input Field'!D19*40</f>
        <v>0</v>
      </c>
      <c r="N20" s="35"/>
    </row>
    <row r="21" spans="1:14" ht="14.25" x14ac:dyDescent="0.3">
      <c r="A21" s="36" t="s">
        <v>26</v>
      </c>
      <c r="B21" s="26" t="str">
        <f>IF(ISBLANK('Input Field'!A20),"",'Input Field'!A20&amp;"  :  "&amp;'Input Field'!B20)</f>
        <v/>
      </c>
      <c r="G21" s="27"/>
      <c r="H21" s="27"/>
      <c r="I21" s="27"/>
      <c r="J21" s="34"/>
      <c r="K21" s="27"/>
      <c r="L21" s="37" t="str">
        <f>IF(ISBLANK('Input Field'!C20),"",'Input Field'!C20&amp;" &gt;&lt; "&amp;'Input Field'!D20&amp;" &gt;&lt; 40  =")</f>
        <v/>
      </c>
      <c r="M21" s="39">
        <f>'Input Field'!C20*'Input Field'!D20*40</f>
        <v>0</v>
      </c>
      <c r="N21" s="35"/>
    </row>
    <row r="22" spans="1:14" ht="15" customHeight="1" x14ac:dyDescent="0.25">
      <c r="A22" s="56" t="s">
        <v>45</v>
      </c>
      <c r="B22" s="27"/>
      <c r="C22" s="27"/>
      <c r="D22" s="27"/>
      <c r="E22" s="27"/>
      <c r="F22" s="27"/>
      <c r="G22" s="27"/>
      <c r="H22" s="27"/>
      <c r="I22" s="27"/>
      <c r="J22" s="34"/>
      <c r="K22" s="27"/>
      <c r="L22" s="28"/>
      <c r="M22" s="29"/>
      <c r="N22" s="35"/>
    </row>
    <row r="23" spans="1:14" ht="14.25" x14ac:dyDescent="0.3">
      <c r="A23" s="36" t="s">
        <v>24</v>
      </c>
      <c r="B23" s="26" t="str">
        <f>IF('Input Field'!A24&lt;&gt;"",'Input Field'!D24&amp;" টি "&amp;'Input Field'!C24&amp;" ঘন্টার পরীক্ষার "&amp;'Input Field'!B24&amp;" বিষয় "&amp;'Input Field'!A24&amp;" কোর্স কোড","")</f>
        <v>33 টি 2 ঘন্টার পরীক্ষার Information Security বিষয় CSE 2205 কোর্স কোড</v>
      </c>
      <c r="I23" s="27"/>
      <c r="J23" s="34"/>
      <c r="K23" s="27"/>
      <c r="L23" s="37" t="str">
        <f>IF(ISBLANK('Input Field'!A24),"",'Input Field'!D24&amp;" &gt;&lt; "&amp;'Input Field'!E24&amp;"  =")</f>
        <v>33 &gt;&lt; 90  =</v>
      </c>
      <c r="M23" s="39">
        <f>'Input Field'!D24*'Input Field'!E24</f>
        <v>2970</v>
      </c>
      <c r="N23" s="35"/>
    </row>
    <row r="24" spans="1:14" ht="14.25" x14ac:dyDescent="0.3">
      <c r="A24" s="36" t="s">
        <v>25</v>
      </c>
      <c r="B24" s="26" t="str">
        <f>IF('Input Field'!A25&lt;&gt;"",'Input Field'!D25&amp;" টি "&amp;'Input Field'!C25&amp;" ঘন্টার পরীক্ষার "&amp;'Input Field'!B25&amp;" বিষয় "&amp;'Input Field'!A25&amp;" কোর্স কোড","")</f>
        <v>36 টি 2 ঘন্টার পরীক্ষার Software Requirement Specification &amp; Analysis বিষয় SE 2209 কোর্স কোড</v>
      </c>
      <c r="I24" s="27"/>
      <c r="J24" s="34"/>
      <c r="K24" s="27"/>
      <c r="L24" s="37" t="str">
        <f>IF(ISBLANK('Input Field'!A25),"",'Input Field'!D25&amp;" &gt;&lt; "&amp;'Input Field'!E25&amp;"  =")</f>
        <v>36 &gt;&lt; 90  =</v>
      </c>
      <c r="M24" s="39">
        <f>'Input Field'!D25*'Input Field'!E25</f>
        <v>3240</v>
      </c>
      <c r="N24" s="35"/>
    </row>
    <row r="25" spans="1:14" ht="14.25" x14ac:dyDescent="0.3">
      <c r="A25" s="36" t="s">
        <v>26</v>
      </c>
      <c r="B25" s="26" t="str">
        <f>IF('Input Field'!A26&lt;&gt;"",'Input Field'!D26&amp;" টি "&amp;'Input Field'!C26&amp;" ঘন্টার পরীক্ষার "&amp;'Input Field'!B26&amp;" বিষয় "&amp;'Input Field'!A26&amp;" কোর্স কোড","")</f>
        <v/>
      </c>
      <c r="I25" s="27"/>
      <c r="J25" s="34"/>
      <c r="K25" s="27"/>
      <c r="L25" s="37" t="str">
        <f>IF(ISBLANK('Input Field'!A26),"",'Input Field'!D26&amp;" &gt;&lt; "&amp;'Input Field'!E26&amp;"  =")</f>
        <v/>
      </c>
      <c r="M25" s="41">
        <f>'Input Field'!D26*'Input Field'!E26</f>
        <v>0</v>
      </c>
      <c r="N25" s="35"/>
    </row>
    <row r="26" spans="1:14" ht="14.25" x14ac:dyDescent="0.3">
      <c r="A26" s="36" t="s">
        <v>27</v>
      </c>
      <c r="B26" s="26" t="str">
        <f>IF('Input Field'!A27&lt;&gt;"",'Input Field'!D27&amp;" টি "&amp;'Input Field'!C27&amp;" ঘন্টার পরীক্ষার "&amp;'Input Field'!B27&amp;" বিষয় "&amp;'Input Field'!A27&amp;" কোর্স কোড","")</f>
        <v/>
      </c>
      <c r="I26" s="27"/>
      <c r="J26" s="34"/>
      <c r="K26" s="27"/>
      <c r="L26" s="37" t="str">
        <f>IF(ISBLANK('Input Field'!A27),"",'Input Field'!D27&amp;" &gt;&lt; "&amp;'Input Field'!E27&amp;"  =")</f>
        <v/>
      </c>
      <c r="M26" s="39">
        <f>'Input Field'!D27*'Input Field'!E27</f>
        <v>0</v>
      </c>
      <c r="N26" s="35"/>
    </row>
    <row r="27" spans="1:14" ht="14.25" x14ac:dyDescent="0.3">
      <c r="A27" s="36" t="s">
        <v>40</v>
      </c>
      <c r="B27" s="26" t="str">
        <f>IF('Input Field'!A28&lt;&gt;"",'Input Field'!D28&amp;" টি "&amp;'Input Field'!C28&amp;" ঘন্টার পরীক্ষার "&amp;'Input Field'!B28&amp;" বিষয় "&amp;'Input Field'!A28&amp;" কোর্স কোড","")</f>
        <v/>
      </c>
      <c r="I27" s="27"/>
      <c r="J27" s="34"/>
      <c r="K27" s="27"/>
      <c r="L27" s="37" t="str">
        <f>IF(ISBLANK('Input Field'!A28),"",'Input Field'!D28&amp;" &gt;&lt; "&amp;'Input Field'!E28&amp;"  =")</f>
        <v/>
      </c>
      <c r="M27" s="39">
        <f>'Input Field'!D28*'Input Field'!E28</f>
        <v>0</v>
      </c>
      <c r="N27" s="35"/>
    </row>
    <row r="28" spans="1:14" ht="14.1" customHeight="1" x14ac:dyDescent="0.25">
      <c r="A28" s="56" t="s">
        <v>46</v>
      </c>
      <c r="B28" s="27"/>
      <c r="C28" s="27"/>
      <c r="D28" s="27"/>
      <c r="E28" s="27"/>
      <c r="F28" s="27"/>
      <c r="G28" s="27"/>
      <c r="H28" s="27"/>
      <c r="I28" s="27"/>
      <c r="J28" s="34"/>
      <c r="K28" s="27"/>
      <c r="L28" s="28"/>
      <c r="M28" s="29"/>
      <c r="N28" s="35"/>
    </row>
    <row r="29" spans="1:14" ht="14.25" x14ac:dyDescent="0.3">
      <c r="A29" s="36" t="s">
        <v>24</v>
      </c>
      <c r="B29" s="26" t="str">
        <f>IF(ISBLANK('Input Field'!A32),"",'Input Field'!$B$4&amp;" সনের "&amp;"Y"&amp;'Input Field'!$E$1&amp;"-T"&amp;'Input Field'!$E$2&amp;" পরীক্ষার "&amp;'Input Field'!B32&amp;" বিষয়ে "&amp;'Input Field'!C32&amp;" দিন (গ্রুপঃ "&amp;'Input Field'!D32&amp;")")</f>
        <v>২০২০ সনের Y2-T2 পরীক্ষার Software Requirement Specification &amp; Analysis Lab বিষয়ে 1 দিন (গ্রুপঃ 3)</v>
      </c>
      <c r="I29" s="27"/>
      <c r="J29" s="34"/>
      <c r="K29" s="27"/>
      <c r="L29" s="37" t="str">
        <f>IF(ISBLANK('Input Field'!A32),"",'Input Field'!D32&amp;" &gt;&lt; 1200  =")</f>
        <v>3 &gt;&lt; 1200  =</v>
      </c>
      <c r="M29" s="39">
        <f>'Input Field'!D32*1200</f>
        <v>3600</v>
      </c>
      <c r="N29" s="35"/>
    </row>
    <row r="30" spans="1:14" ht="14.25" x14ac:dyDescent="0.3">
      <c r="A30" s="36" t="s">
        <v>25</v>
      </c>
      <c r="B30" s="26" t="str">
        <f>IF(ISBLANK('Input Field'!A33),"",'Input Field'!$B$4&amp;" সনের "&amp;"Y"&amp;'Input Field'!$E$1&amp;"-T"&amp;'Input Field'!$E$2&amp;" পরীক্ষার "&amp;'Input Field'!B33&amp;" বিষয়ে "&amp;'Input Field'!C33&amp;" দিন (গ্রুপঃ "&amp;'Input Field'!D33&amp;")")</f>
        <v>২০২০ সনের Y2-T2 পরীক্ষার Information Security Lab বিষয়ে 1 দিন (গ্রুপঃ 3)</v>
      </c>
      <c r="I30" s="27"/>
      <c r="J30" s="34"/>
      <c r="K30" s="27"/>
      <c r="L30" s="37" t="str">
        <f>IF(ISBLANK('Input Field'!A33),"",'Input Field'!D33&amp;" &gt;&lt; 1200  =")</f>
        <v>3 &gt;&lt; 1200  =</v>
      </c>
      <c r="M30" s="39">
        <f>'Input Field'!D33*1200</f>
        <v>3600</v>
      </c>
      <c r="N30" s="35"/>
    </row>
    <row r="31" spans="1:14" ht="14.25" x14ac:dyDescent="0.3">
      <c r="A31" s="36" t="s">
        <v>26</v>
      </c>
      <c r="B31" s="26" t="str">
        <f>IF(ISBLANK('Input Field'!A34),"",'Input Field'!$B$4&amp;" সনের "&amp;"Y"&amp;'Input Field'!$E$1&amp;"-T"&amp;'Input Field'!$E$2&amp;" পরীক্ষার "&amp;'Input Field'!B34&amp;" বিষয়ে "&amp;'Input Field'!C34&amp;" দিন (গ্রুপঃ "&amp;'Input Field'!D34&amp;")")</f>
        <v>২০২০ সনের Y2-T2 পরীক্ষার Database Management System - I Lab বিষয়ে 1 দিন (গ্রুপঃ 3)</v>
      </c>
      <c r="I31" s="27"/>
      <c r="J31" s="34"/>
      <c r="K31" s="27"/>
      <c r="L31" s="37" t="str">
        <f>IF(ISBLANK('Input Field'!A34),"",'Input Field'!D34&amp;" &gt;&lt; 1200  =")</f>
        <v>3 &gt;&lt; 1200  =</v>
      </c>
      <c r="M31" s="39">
        <f>'Input Field'!D34*1200</f>
        <v>3600</v>
      </c>
      <c r="N31" s="35"/>
    </row>
    <row r="32" spans="1:14" ht="14.25" x14ac:dyDescent="0.3">
      <c r="A32" s="36" t="s">
        <v>27</v>
      </c>
      <c r="B32" s="26" t="str">
        <f>IF(ISBLANK('Input Field'!A35),"",'Input Field'!$B$4&amp;" সনের "&amp;"Y"&amp;'Input Field'!$E$1&amp;"-T"&amp;'Input Field'!$E$2&amp;" পরীক্ষার "&amp;'Input Field'!B35&amp;" বিষয়ে "&amp;'Input Field'!C35&amp;" দিন (গ্রুপঃ "&amp;'Input Field'!D35&amp;")")</f>
        <v/>
      </c>
      <c r="I32" s="27"/>
      <c r="J32" s="34"/>
      <c r="K32" s="27"/>
      <c r="L32" s="37" t="str">
        <f>IF(ISBLANK('Input Field'!A35),"",'Input Field'!D35&amp;" &gt;&lt; 1200  =")</f>
        <v/>
      </c>
      <c r="M32" s="39">
        <f>'Input Field'!D35*1200</f>
        <v>0</v>
      </c>
      <c r="N32" s="35"/>
    </row>
    <row r="33" spans="1:14" ht="18" customHeight="1" x14ac:dyDescent="0.3">
      <c r="A33" s="56" t="s">
        <v>56</v>
      </c>
      <c r="B33" s="27"/>
      <c r="C33" s="27"/>
      <c r="D33" s="27" t="s">
        <v>57</v>
      </c>
      <c r="E33" s="27"/>
      <c r="F33" s="27"/>
      <c r="G33" s="27"/>
      <c r="H33" s="27"/>
      <c r="I33" s="27"/>
      <c r="J33" s="34"/>
      <c r="K33" s="27"/>
      <c r="L33" s="28"/>
      <c r="M33" s="39">
        <f>'Input Field'!B37</f>
        <v>0</v>
      </c>
      <c r="N33" s="35"/>
    </row>
    <row r="34" spans="1:14" ht="16.5" customHeight="1" x14ac:dyDescent="0.25">
      <c r="A34" s="56" t="s">
        <v>58</v>
      </c>
      <c r="B34" s="27"/>
      <c r="C34" s="27"/>
      <c r="D34" s="27"/>
      <c r="E34" s="27"/>
      <c r="F34" s="27"/>
      <c r="G34" s="27"/>
      <c r="H34" s="27"/>
      <c r="I34" s="27"/>
      <c r="J34" s="34"/>
      <c r="K34" s="27"/>
      <c r="L34" s="28"/>
      <c r="M34" s="29"/>
      <c r="N34" s="35"/>
    </row>
    <row r="35" spans="1:14" ht="26.45" customHeight="1" x14ac:dyDescent="0.25">
      <c r="A35" s="56"/>
      <c r="B35" s="92" t="str">
        <f>IF(ISBLANK('Input Field'!B40),"নেই বা N/A",'Input Field'!B4&amp;" সনের "&amp;"Y"&amp;'Input Field'!E1&amp;"-T"&amp;'Input Field'!E2&amp;" পরীক্ষায় "&amp;'Input Field'!B40&amp;" বিষয়ের "&amp;'Input Field'!D40&amp;" জন পরীক্ষার্থীর জন্য।")</f>
        <v>২০২০ সনের Y2-T2 পরীক্ষায় 10 বিষয়ের 34 জন পরীক্ষার্থীর জন্য।</v>
      </c>
      <c r="C35" s="93"/>
      <c r="D35" s="93"/>
      <c r="E35" s="93"/>
      <c r="F35" s="93"/>
      <c r="G35" s="93"/>
      <c r="H35" s="93"/>
      <c r="I35" s="27"/>
      <c r="J35" s="34"/>
      <c r="K35" s="27"/>
      <c r="L35" s="42" t="str">
        <f>IF(ISBLANK('Input Field'!B40),"",'Input Field'!D40&amp;" &gt;&lt; 50  =")</f>
        <v>34 &gt;&lt; 50  =</v>
      </c>
      <c r="M35" s="43">
        <f>IF(ISBLANK('Input Field'!B40),"-",'Input Field'!D40*50)</f>
        <v>1700</v>
      </c>
      <c r="N35" s="35"/>
    </row>
    <row r="36" spans="1:14" ht="15" customHeight="1" x14ac:dyDescent="0.25">
      <c r="A36" s="40" t="s">
        <v>59</v>
      </c>
      <c r="B36" s="27"/>
      <c r="C36" s="27"/>
      <c r="D36" s="27"/>
      <c r="E36" s="27"/>
      <c r="F36" s="27"/>
      <c r="G36" s="27"/>
      <c r="H36" s="27"/>
      <c r="I36" s="27"/>
      <c r="J36" s="34"/>
      <c r="K36" s="27"/>
      <c r="L36" s="28"/>
      <c r="M36" s="29"/>
      <c r="N36" s="35"/>
    </row>
    <row r="37" spans="1:14" ht="17.25" customHeight="1" x14ac:dyDescent="0.25">
      <c r="A37" s="40"/>
      <c r="B37" s="89" t="str">
        <f>IF(ISBLANK('Input Field'!B43),"নেই বা N/A",'Input Field'!B4&amp;" সনের "&amp;"Y"&amp;'Input Field'!E1&amp;"-T"&amp;'Input Field'!E2&amp;" পরীক্ষায় "&amp;'Input Field'!B43&amp;" বিষয়ের উত্তরপত্র নিরীক্ষা।")</f>
        <v>নেই বা N/A</v>
      </c>
      <c r="C37" s="89"/>
      <c r="D37" s="89"/>
      <c r="E37" s="89"/>
      <c r="F37" s="89"/>
      <c r="G37" s="89"/>
      <c r="H37" s="89"/>
      <c r="I37" s="27"/>
      <c r="J37" s="34"/>
      <c r="K37" s="27"/>
      <c r="L37" s="42" t="str">
        <f>IF(ISBLANK('Input Field'!B43),"",'Input Field'!D43&amp;" &gt;&lt; "&amp;'Input Field'!F43&amp;" &gt;&lt; 20  =")</f>
        <v/>
      </c>
      <c r="M37" s="60" t="str">
        <f>IF(ISBLANK('Input Field'!B43),"-",'Input Field'!D43*'Input Field'!F43*20)</f>
        <v>-</v>
      </c>
      <c r="N37" s="35"/>
    </row>
    <row r="38" spans="1:14" ht="17.45" customHeight="1" x14ac:dyDescent="0.3">
      <c r="A38" s="56" t="s">
        <v>60</v>
      </c>
      <c r="B38" s="27"/>
      <c r="C38" s="27"/>
      <c r="D38" s="27"/>
      <c r="E38" s="27" t="str">
        <f>'Input Field'!C45</f>
        <v>সদস্য</v>
      </c>
      <c r="F38" s="27"/>
      <c r="G38" s="27"/>
      <c r="H38" s="27"/>
      <c r="I38" s="27"/>
      <c r="J38" s="34"/>
      <c r="K38" s="27"/>
      <c r="L38" s="28"/>
      <c r="M38" s="39">
        <f>IF(E38="সভাপতি",3000,IF(E38="সদস্য",2500,0))</f>
        <v>2500</v>
      </c>
      <c r="N38" s="35"/>
    </row>
    <row r="39" spans="1:14" ht="17.45" customHeight="1" x14ac:dyDescent="0.3">
      <c r="A39" s="56" t="s">
        <v>62</v>
      </c>
      <c r="B39" s="27"/>
      <c r="C39" s="27"/>
      <c r="D39" s="27"/>
      <c r="E39" s="27"/>
      <c r="F39" s="27"/>
      <c r="G39" s="27"/>
      <c r="H39" s="27"/>
      <c r="I39" s="27"/>
      <c r="J39" s="34"/>
      <c r="K39" s="27"/>
      <c r="L39" s="28"/>
      <c r="M39" s="39"/>
      <c r="N39" s="35"/>
    </row>
    <row r="40" spans="1:14" ht="14.25" customHeight="1" thickBot="1" x14ac:dyDescent="0.35">
      <c r="B40" s="65" t="s">
        <v>89</v>
      </c>
      <c r="C40" s="27"/>
      <c r="D40" s="27"/>
      <c r="E40" s="27"/>
      <c r="F40" s="27"/>
      <c r="G40" s="27"/>
      <c r="H40" s="27"/>
      <c r="I40" s="27"/>
      <c r="J40" s="44"/>
      <c r="K40" s="45"/>
      <c r="L40" s="46"/>
      <c r="M40" s="47">
        <v>200</v>
      </c>
      <c r="N40" s="48"/>
    </row>
    <row r="41" spans="1:14" ht="17.45" customHeight="1" thickBot="1" x14ac:dyDescent="0.35">
      <c r="H41" s="69" t="s">
        <v>64</v>
      </c>
      <c r="I41" s="69"/>
      <c r="J41" s="70">
        <f>SUM(M12:M40)</f>
        <v>30070</v>
      </c>
      <c r="K41" s="71"/>
      <c r="L41" s="71"/>
      <c r="M41" s="72"/>
      <c r="N41" s="49"/>
    </row>
    <row r="42" spans="1:14" ht="16.5" x14ac:dyDescent="0.3">
      <c r="A42" s="55" t="s">
        <v>63</v>
      </c>
      <c r="B42" s="27"/>
      <c r="H42" s="50"/>
      <c r="I42" s="50"/>
      <c r="J42" s="50"/>
      <c r="K42" s="50"/>
      <c r="L42" s="51"/>
      <c r="M42" s="52"/>
      <c r="N42" s="50"/>
    </row>
    <row r="43" spans="1:14" ht="15" customHeight="1" thickBot="1" x14ac:dyDescent="0.3">
      <c r="H43" s="69" t="s">
        <v>70</v>
      </c>
      <c r="I43" s="69"/>
      <c r="J43" s="87" t="e">
        <f ca="1">BDTConvert(J41)</f>
        <v>#NAME?</v>
      </c>
      <c r="K43" s="87"/>
      <c r="L43" s="87"/>
      <c r="M43" s="87"/>
      <c r="N43" s="87"/>
    </row>
    <row r="46" spans="1:14" ht="14.25" thickBot="1" x14ac:dyDescent="0.3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8"/>
      <c r="M46" s="29"/>
      <c r="N46" s="27"/>
    </row>
    <row r="47" spans="1:14" ht="25.5" customHeight="1" x14ac:dyDescent="0.25">
      <c r="A47" s="86" t="s">
        <v>68</v>
      </c>
      <c r="B47" s="86"/>
      <c r="C47" s="86"/>
      <c r="D47" s="27"/>
      <c r="E47" s="27"/>
      <c r="F47" s="27"/>
      <c r="G47" s="27"/>
      <c r="H47" s="27"/>
      <c r="I47" s="27"/>
      <c r="J47" s="27"/>
      <c r="K47" s="27"/>
      <c r="L47" s="28"/>
      <c r="M47" s="29"/>
      <c r="N47" s="27"/>
    </row>
    <row r="48" spans="1:14" ht="12" customHeight="1" x14ac:dyDescent="0.25">
      <c r="A48" s="26" t="s">
        <v>5</v>
      </c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8"/>
      <c r="M48" s="29"/>
      <c r="N48" s="27"/>
    </row>
    <row r="49" spans="1:14" ht="14.25" customHeight="1" x14ac:dyDescent="0.25">
      <c r="A49" s="82" t="str">
        <f>G8&amp;"  "&amp;H8&amp;",    "&amp;I8&amp;"  "&amp;J8</f>
        <v>বর্ষঃ  2,    টার্মঃ  2</v>
      </c>
      <c r="B49" s="82"/>
      <c r="C49" s="82"/>
      <c r="D49" s="27"/>
      <c r="E49" s="27"/>
      <c r="F49" s="27"/>
      <c r="G49" s="27"/>
      <c r="H49" s="27"/>
      <c r="I49" s="27"/>
      <c r="J49" s="27"/>
      <c r="K49" s="27"/>
      <c r="L49" s="28"/>
      <c r="M49" s="29"/>
      <c r="N49" s="27"/>
    </row>
    <row r="50" spans="1:14" ht="13.5" x14ac:dyDescent="0.25">
      <c r="A50" s="55" t="s">
        <v>69</v>
      </c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8"/>
      <c r="M50" s="29"/>
      <c r="N50" s="27"/>
    </row>
    <row r="51" spans="1:14" ht="6.6" customHeight="1" x14ac:dyDescent="0.2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8"/>
      <c r="M51" s="29"/>
      <c r="N51" s="27"/>
    </row>
    <row r="52" spans="1:14" x14ac:dyDescent="0.25">
      <c r="A52" s="88" t="s">
        <v>71</v>
      </c>
      <c r="B52" s="88"/>
      <c r="C52" s="88"/>
      <c r="D52" s="88"/>
      <c r="E52" s="88"/>
      <c r="F52" s="88"/>
      <c r="G52" s="88"/>
      <c r="H52" s="88"/>
      <c r="I52" s="88"/>
      <c r="J52" s="88"/>
      <c r="K52" s="88"/>
      <c r="L52" s="88"/>
      <c r="M52" s="88"/>
      <c r="N52" s="88"/>
    </row>
    <row r="53" spans="1:14" ht="14.25" thickBot="1" x14ac:dyDescent="0.3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8"/>
      <c r="M53" s="29"/>
      <c r="N53" s="27"/>
    </row>
    <row r="54" spans="1:14" ht="15" customHeight="1" x14ac:dyDescent="0.25">
      <c r="A54" s="68" t="s">
        <v>72</v>
      </c>
      <c r="B54" s="68"/>
      <c r="C54" s="68"/>
      <c r="D54" s="27"/>
      <c r="E54" s="27"/>
      <c r="F54" s="27"/>
      <c r="G54" s="27"/>
      <c r="H54" s="27"/>
      <c r="I54" s="27"/>
      <c r="J54" s="27"/>
      <c r="K54" s="27"/>
      <c r="L54" s="28"/>
      <c r="M54" s="29"/>
      <c r="N54" s="27"/>
    </row>
    <row r="55" spans="1:14" ht="11.1" customHeight="1" x14ac:dyDescent="0.2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8"/>
      <c r="M55" s="29"/>
      <c r="N55" s="27"/>
    </row>
    <row r="56" spans="1:14" ht="14.25" thickBot="1" x14ac:dyDescent="0.3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8"/>
      <c r="M56" s="29"/>
      <c r="N56" s="27"/>
    </row>
    <row r="57" spans="1:14" s="63" customFormat="1" ht="12" customHeight="1" x14ac:dyDescent="0.25">
      <c r="A57" s="85" t="s">
        <v>73</v>
      </c>
      <c r="B57" s="85"/>
      <c r="C57" s="62"/>
      <c r="E57" s="67" t="s">
        <v>74</v>
      </c>
      <c r="F57" s="67"/>
      <c r="G57" s="67"/>
      <c r="I57" s="67" t="s">
        <v>75</v>
      </c>
      <c r="J57" s="67"/>
      <c r="K57" s="67"/>
      <c r="L57" s="64"/>
      <c r="M57" s="85" t="s">
        <v>76</v>
      </c>
      <c r="N57" s="85"/>
    </row>
    <row r="58" spans="1:14" ht="3.95" customHeight="1" thickBot="1" x14ac:dyDescent="0.3">
      <c r="A58" s="83"/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</row>
    <row r="59" spans="1:14" ht="3.95" customHeight="1" x14ac:dyDescent="0.2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8"/>
      <c r="M59" s="29"/>
      <c r="N59" s="27"/>
    </row>
    <row r="60" spans="1:14" ht="15" x14ac:dyDescent="0.25">
      <c r="A60" s="90" t="s">
        <v>77</v>
      </c>
      <c r="B60" s="90"/>
      <c r="C60" s="90"/>
      <c r="D60" s="90"/>
      <c r="E60" s="90"/>
      <c r="F60" s="90"/>
      <c r="G60" s="90"/>
      <c r="H60" s="90"/>
      <c r="I60" s="90"/>
      <c r="J60" s="90"/>
      <c r="K60" s="90"/>
      <c r="L60" s="90"/>
      <c r="M60" s="90"/>
      <c r="N60" s="90"/>
    </row>
    <row r="61" spans="1:14" ht="9.9499999999999993" customHeight="1" x14ac:dyDescent="0.2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8"/>
      <c r="M61" s="29"/>
      <c r="N61" s="27"/>
    </row>
    <row r="62" spans="1:14" ht="13.5" x14ac:dyDescent="0.25">
      <c r="A62" s="76" t="s">
        <v>90</v>
      </c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</row>
    <row r="63" spans="1:14" ht="13.5" x14ac:dyDescent="0.2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8"/>
      <c r="M63" s="29"/>
      <c r="N63" s="27"/>
    </row>
    <row r="64" spans="1:14" ht="13.5" x14ac:dyDescent="0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8"/>
      <c r="M64" s="29"/>
      <c r="N64" s="27"/>
    </row>
    <row r="65" spans="1:14" ht="14.25" thickBot="1" x14ac:dyDescent="0.3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8"/>
      <c r="M65" s="29"/>
      <c r="N65" s="27"/>
    </row>
    <row r="66" spans="1:14" s="59" customFormat="1" ht="14.45" customHeight="1" x14ac:dyDescent="0.25">
      <c r="A66" s="57"/>
      <c r="B66" s="77" t="s">
        <v>78</v>
      </c>
      <c r="C66" s="77"/>
      <c r="D66" s="77"/>
      <c r="E66" s="57"/>
      <c r="F66" s="78" t="s">
        <v>79</v>
      </c>
      <c r="G66" s="78"/>
      <c r="H66" s="57"/>
      <c r="I66" s="57"/>
      <c r="J66" s="57"/>
      <c r="K66" s="57"/>
      <c r="L66" s="79" t="s">
        <v>80</v>
      </c>
      <c r="M66" s="79"/>
      <c r="N66" s="58"/>
    </row>
    <row r="67" spans="1:14" ht="6" customHeight="1" x14ac:dyDescent="0.2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8"/>
      <c r="M67" s="29"/>
      <c r="N67" s="27"/>
    </row>
    <row r="68" spans="1:14" ht="13.5" x14ac:dyDescent="0.25">
      <c r="A68" s="27" t="s">
        <v>81</v>
      </c>
      <c r="B68" s="27"/>
      <c r="C68" s="27"/>
      <c r="D68" s="27"/>
      <c r="E68" s="27"/>
      <c r="F68" s="53" t="s">
        <v>82</v>
      </c>
      <c r="G68" s="27"/>
      <c r="H68" s="27"/>
      <c r="I68" s="27"/>
      <c r="J68" s="27"/>
      <c r="K68" s="27"/>
      <c r="L68" s="28"/>
      <c r="M68" s="29"/>
      <c r="N68" s="27"/>
    </row>
  </sheetData>
  <mergeCells count="33">
    <mergeCell ref="C1:F1"/>
    <mergeCell ref="B35:H35"/>
    <mergeCell ref="C17:H17"/>
    <mergeCell ref="A2:N2"/>
    <mergeCell ref="J7:N7"/>
    <mergeCell ref="G1:J1"/>
    <mergeCell ref="K1:N1"/>
    <mergeCell ref="A17:B17"/>
    <mergeCell ref="A12:B12"/>
    <mergeCell ref="M8:N8"/>
    <mergeCell ref="C7:E7"/>
    <mergeCell ref="C8:E9"/>
    <mergeCell ref="A49:C49"/>
    <mergeCell ref="A58:N58"/>
    <mergeCell ref="M57:N57"/>
    <mergeCell ref="A47:C47"/>
    <mergeCell ref="H43:I43"/>
    <mergeCell ref="J43:N43"/>
    <mergeCell ref="A52:N52"/>
    <mergeCell ref="A57:B57"/>
    <mergeCell ref="B37:H37"/>
    <mergeCell ref="J9:N9"/>
    <mergeCell ref="I57:K57"/>
    <mergeCell ref="A62:N62"/>
    <mergeCell ref="B66:D66"/>
    <mergeCell ref="F66:G66"/>
    <mergeCell ref="L66:M66"/>
    <mergeCell ref="A60:N60"/>
    <mergeCell ref="E57:G57"/>
    <mergeCell ref="A54:C54"/>
    <mergeCell ref="H41:I41"/>
    <mergeCell ref="J41:M41"/>
    <mergeCell ref="J11:M11"/>
  </mergeCells>
  <pageMargins left="0.25568181818181818" right="0.15151515151515152" top="0.15068134171907757" bottom="0.17688679245283018" header="0.3" footer="0.3"/>
  <pageSetup paperSize="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5"/>
  <sheetViews>
    <sheetView workbookViewId="0">
      <selection activeCell="F6" sqref="F6"/>
    </sheetView>
  </sheetViews>
  <sheetFormatPr defaultColWidth="9.140625" defaultRowHeight="15" x14ac:dyDescent="0.25"/>
  <cols>
    <col min="1" max="1" width="15.7109375" style="1" customWidth="1"/>
    <col min="2" max="2" width="10.140625" style="1" customWidth="1"/>
    <col min="3" max="16384" width="9.140625" style="1"/>
  </cols>
  <sheetData>
    <row r="1" spans="1:6" x14ac:dyDescent="0.25">
      <c r="A1" s="101" t="s">
        <v>14</v>
      </c>
      <c r="B1" s="101"/>
    </row>
    <row r="2" spans="1:6" x14ac:dyDescent="0.25">
      <c r="A2" s="1" t="s">
        <v>15</v>
      </c>
      <c r="B2" s="1" t="s">
        <v>16</v>
      </c>
      <c r="C2" s="2" t="s">
        <v>17</v>
      </c>
      <c r="D2" s="3">
        <v>1600</v>
      </c>
      <c r="E2" s="2" t="s">
        <v>18</v>
      </c>
      <c r="F2" s="3">
        <v>1450</v>
      </c>
    </row>
    <row r="3" spans="1:6" x14ac:dyDescent="0.25">
      <c r="B3" s="1" t="s">
        <v>19</v>
      </c>
      <c r="C3" s="2" t="s">
        <v>17</v>
      </c>
      <c r="D3" s="3">
        <v>1500</v>
      </c>
      <c r="E3" s="2" t="s">
        <v>18</v>
      </c>
      <c r="F3" s="3">
        <v>1350</v>
      </c>
    </row>
    <row r="4" spans="1:6" x14ac:dyDescent="0.25">
      <c r="A4" s="1" t="s">
        <v>20</v>
      </c>
      <c r="B4" s="1" t="s">
        <v>16</v>
      </c>
      <c r="C4" s="2" t="s">
        <v>17</v>
      </c>
      <c r="D4" s="3">
        <v>1650</v>
      </c>
      <c r="E4" s="2" t="s">
        <v>18</v>
      </c>
      <c r="F4" s="3">
        <v>1550</v>
      </c>
    </row>
    <row r="5" spans="1:6" x14ac:dyDescent="0.25">
      <c r="B5" s="1" t="s">
        <v>19</v>
      </c>
      <c r="C5" s="2" t="s">
        <v>17</v>
      </c>
      <c r="D5" s="3">
        <v>1600</v>
      </c>
      <c r="E5" s="2" t="s">
        <v>18</v>
      </c>
      <c r="F5" s="3">
        <v>1500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Field</vt:lpstr>
      <vt:lpstr>PrintBill</vt:lpstr>
      <vt:lpstr>Rule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Md. Iftekhar Alam Efat</dc:creator>
  <cp:keywords>IIT-NSTU;Exam Bill</cp:keywords>
  <cp:lastModifiedBy>Md. Iftekhar Alam Efat</cp:lastModifiedBy>
  <cp:lastPrinted>2022-05-19T11:32:41Z</cp:lastPrinted>
  <dcterms:created xsi:type="dcterms:W3CDTF">2022-04-18T07:50:15Z</dcterms:created>
  <dcterms:modified xsi:type="dcterms:W3CDTF">2024-05-07T12:47:43Z</dcterms:modified>
</cp:coreProperties>
</file>